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idheesha\OneDrive\Desktop\"/>
    </mc:Choice>
  </mc:AlternateContent>
  <xr:revisionPtr revIDLastSave="0" documentId="13_ncr:1_{F2644785-ACE9-4A46-9B6A-E534EEBC6D3A}" xr6:coauthVersionLast="47" xr6:coauthVersionMax="47" xr10:uidLastSave="{00000000-0000-0000-0000-000000000000}"/>
  <bookViews>
    <workbookView xWindow="-120" yWindow="-120" windowWidth="20730" windowHeight="11280" activeTab="14" xr2:uid="{00000000-000D-0000-FFFF-FFFF00000000}"/>
  </bookViews>
  <sheets>
    <sheet name="Pivot table" sheetId="5" r:id="rId1"/>
    <sheet name="Correlation" sheetId="16" r:id="rId2"/>
    <sheet name="Descriptive Statistics" sheetId="17" r:id="rId3"/>
    <sheet name="Midlands Descriptive Statistics" sheetId="25" r:id="rId4"/>
    <sheet name="North &amp; North West DEscriptive" sheetId="26" r:id="rId5"/>
    <sheet name="Scot &amp; North East Descriptive" sheetId="27" r:id="rId6"/>
    <sheet name="South East Desciptive Statistic" sheetId="28" r:id="rId7"/>
    <sheet name="South West Descriptive Statisti" sheetId="29" r:id="rId8"/>
    <sheet name="Dataset" sheetId="1" r:id="rId9"/>
    <sheet name="Macro" sheetId="7" r:id="rId10"/>
    <sheet name="Selection" sheetId="6" r:id="rId11"/>
    <sheet name="LOC graphs" sheetId="19" r:id="rId12"/>
    <sheet name="RFS graphs" sheetId="22" r:id="rId13"/>
    <sheet name="Passes graphs" sheetId="24" r:id="rId14"/>
    <sheet name="Copy of the dataset" sheetId="15" r:id="rId15"/>
  </sheets>
  <definedNames>
    <definedName name="_xlnm._FilterDatabase" localSheetId="14" hidden="1">'Copy of the dataset'!$A$1:$X$59</definedName>
    <definedName name="_xlnm._FilterDatabase" localSheetId="8" hidden="1">Dataset!$A$1:$U$59</definedName>
  </definedNames>
  <calcPr calcId="191029"/>
  <pivotCaches>
    <pivotCache cacheId="0" r:id="rId16"/>
    <pivotCache cacheId="1" r:id="rId17"/>
    <pivotCache cacheId="2" r:id="rId1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3" i="15" l="1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2" i="15"/>
  <c r="L3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44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2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2" i="15"/>
</calcChain>
</file>

<file path=xl/sharedStrings.xml><?xml version="1.0" encoding="utf-8"?>
<sst xmlns="http://schemas.openxmlformats.org/spreadsheetml/2006/main" count="2230" uniqueCount="295">
  <si>
    <t>Scot &amp; North East</t>
  </si>
  <si>
    <t>May-22</t>
  </si>
  <si>
    <t>1</t>
  </si>
  <si>
    <t>North &amp; North West</t>
  </si>
  <si>
    <t>May-22</t>
  </si>
  <si>
    <t>2</t>
  </si>
  <si>
    <t>North &amp; North West</t>
  </si>
  <si>
    <t>May-22</t>
  </si>
  <si>
    <t>3</t>
  </si>
  <si>
    <t>North &amp; North West</t>
  </si>
  <si>
    <t>May-22</t>
  </si>
  <si>
    <t>4</t>
  </si>
  <si>
    <t>South East</t>
  </si>
  <si>
    <t>May-22</t>
  </si>
  <si>
    <t>5</t>
  </si>
  <si>
    <t>South West</t>
  </si>
  <si>
    <t>May-22</t>
  </si>
  <si>
    <t>6</t>
  </si>
  <si>
    <t>North &amp; North West</t>
  </si>
  <si>
    <t>May-22</t>
  </si>
  <si>
    <t>7</t>
  </si>
  <si>
    <t>South East</t>
  </si>
  <si>
    <t>May-22</t>
  </si>
  <si>
    <t>8</t>
  </si>
  <si>
    <t>South East</t>
  </si>
  <si>
    <t>May-22</t>
  </si>
  <si>
    <t>9</t>
  </si>
  <si>
    <t>Midlands</t>
  </si>
  <si>
    <t>May-22</t>
  </si>
  <si>
    <t>10</t>
  </si>
  <si>
    <t>South East</t>
  </si>
  <si>
    <t>May-22</t>
  </si>
  <si>
    <t>11</t>
  </si>
  <si>
    <t>South West</t>
  </si>
  <si>
    <t>May-22</t>
  </si>
  <si>
    <t>12</t>
  </si>
  <si>
    <t>North &amp; North West</t>
  </si>
  <si>
    <t>May-22</t>
  </si>
  <si>
    <t>13</t>
  </si>
  <si>
    <t>Midlands</t>
  </si>
  <si>
    <t>May-22</t>
  </si>
  <si>
    <t>14</t>
  </si>
  <si>
    <t>South East</t>
  </si>
  <si>
    <t>May-22</t>
  </si>
  <si>
    <t>15</t>
  </si>
  <si>
    <t>Midlands</t>
  </si>
  <si>
    <t>May-22</t>
  </si>
  <si>
    <t>16</t>
  </si>
  <si>
    <t>North &amp; North West</t>
  </si>
  <si>
    <t>May-22</t>
  </si>
  <si>
    <t>17</t>
  </si>
  <si>
    <t>North &amp; North West</t>
  </si>
  <si>
    <t>May-22</t>
  </si>
  <si>
    <t>18</t>
  </si>
  <si>
    <t>Scot &amp; North East</t>
  </si>
  <si>
    <t>May-22</t>
  </si>
  <si>
    <t>19</t>
  </si>
  <si>
    <t>South East</t>
  </si>
  <si>
    <t>May-22</t>
  </si>
  <si>
    <t>20</t>
  </si>
  <si>
    <t>Scot &amp; North East</t>
  </si>
  <si>
    <t>May-22</t>
  </si>
  <si>
    <t>21</t>
  </si>
  <si>
    <t>Scot &amp; North East</t>
  </si>
  <si>
    <t>May-22</t>
  </si>
  <si>
    <t>22</t>
  </si>
  <si>
    <t>Scot &amp; North East</t>
  </si>
  <si>
    <t>May-22</t>
  </si>
  <si>
    <t>23</t>
  </si>
  <si>
    <t>South West</t>
  </si>
  <si>
    <t>May-22</t>
  </si>
  <si>
    <t>24</t>
  </si>
  <si>
    <t>North &amp; North West</t>
  </si>
  <si>
    <t>May-22</t>
  </si>
  <si>
    <t>25</t>
  </si>
  <si>
    <t>North &amp; North West</t>
  </si>
  <si>
    <t>May-22</t>
  </si>
  <si>
    <t>26</t>
  </si>
  <si>
    <t>Scot &amp; North East</t>
  </si>
  <si>
    <t>May-22</t>
  </si>
  <si>
    <t>27</t>
  </si>
  <si>
    <t>South East</t>
  </si>
  <si>
    <t>May-22</t>
  </si>
  <si>
    <t>28</t>
  </si>
  <si>
    <t>North &amp; North West</t>
  </si>
  <si>
    <t>May-22</t>
  </si>
  <si>
    <t>29</t>
  </si>
  <si>
    <t>Midlands</t>
  </si>
  <si>
    <t>May-22</t>
  </si>
  <si>
    <t>30</t>
  </si>
  <si>
    <t>South East</t>
  </si>
  <si>
    <t>May-22</t>
  </si>
  <si>
    <t>31</t>
  </si>
  <si>
    <t>South West</t>
  </si>
  <si>
    <t>May-22</t>
  </si>
  <si>
    <t>32</t>
  </si>
  <si>
    <t>Scot &amp; North East</t>
  </si>
  <si>
    <t>May-22</t>
  </si>
  <si>
    <t>33</t>
  </si>
  <si>
    <t>Midlands</t>
  </si>
  <si>
    <t>May-22</t>
  </si>
  <si>
    <t>34</t>
  </si>
  <si>
    <t>Scot &amp; North East</t>
  </si>
  <si>
    <t>May-22</t>
  </si>
  <si>
    <t>35</t>
  </si>
  <si>
    <t>Scot &amp; North East</t>
  </si>
  <si>
    <t>May-22</t>
  </si>
  <si>
    <t>36</t>
  </si>
  <si>
    <t>Midlands</t>
  </si>
  <si>
    <t>May-22</t>
  </si>
  <si>
    <t>37</t>
  </si>
  <si>
    <t>South East</t>
  </si>
  <si>
    <t>May-22</t>
  </si>
  <si>
    <t>38</t>
  </si>
  <si>
    <t>Midlands</t>
  </si>
  <si>
    <t>May-22</t>
  </si>
  <si>
    <t>39</t>
  </si>
  <si>
    <t>Midlands</t>
  </si>
  <si>
    <t>May-22</t>
  </si>
  <si>
    <t>40</t>
  </si>
  <si>
    <t>South West</t>
  </si>
  <si>
    <t>May-22</t>
  </si>
  <si>
    <t>41</t>
  </si>
  <si>
    <t>South East</t>
  </si>
  <si>
    <t>May-22</t>
  </si>
  <si>
    <t>42</t>
  </si>
  <si>
    <t>South East</t>
  </si>
  <si>
    <t>May-22</t>
  </si>
  <si>
    <t>43</t>
  </si>
  <si>
    <t>North &amp; North West</t>
  </si>
  <si>
    <t>May-22</t>
  </si>
  <si>
    <t>44</t>
  </si>
  <si>
    <t>South West</t>
  </si>
  <si>
    <t>May-22</t>
  </si>
  <si>
    <t>45</t>
  </si>
  <si>
    <t>Scot &amp; North East</t>
  </si>
  <si>
    <t>May-22</t>
  </si>
  <si>
    <t>46</t>
  </si>
  <si>
    <t>North &amp; North West</t>
  </si>
  <si>
    <t>May-22</t>
  </si>
  <si>
    <t>47</t>
  </si>
  <si>
    <t>North &amp; North West</t>
  </si>
  <si>
    <t>May-22</t>
  </si>
  <si>
    <t>48</t>
  </si>
  <si>
    <t>South West</t>
  </si>
  <si>
    <t>May-22</t>
  </si>
  <si>
    <t>49</t>
  </si>
  <si>
    <t>Midlands</t>
  </si>
  <si>
    <t>May-22</t>
  </si>
  <si>
    <t>50</t>
  </si>
  <si>
    <t>South East</t>
  </si>
  <si>
    <t>May-22</t>
  </si>
  <si>
    <t>51</t>
  </si>
  <si>
    <t>Scot &amp; North East</t>
  </si>
  <si>
    <t>May-22</t>
  </si>
  <si>
    <t>52</t>
  </si>
  <si>
    <t>Scot &amp; North East</t>
  </si>
  <si>
    <t>May-22</t>
  </si>
  <si>
    <t>53</t>
  </si>
  <si>
    <t>South West</t>
  </si>
  <si>
    <t>May-22</t>
  </si>
  <si>
    <t>54</t>
  </si>
  <si>
    <t>South West</t>
  </si>
  <si>
    <t>May-22</t>
  </si>
  <si>
    <t>55</t>
  </si>
  <si>
    <t>Midlands</t>
  </si>
  <si>
    <t>May-22</t>
  </si>
  <si>
    <t>56</t>
  </si>
  <si>
    <t>South West</t>
  </si>
  <si>
    <t>May-22</t>
  </si>
  <si>
    <t>57</t>
  </si>
  <si>
    <t>South East</t>
  </si>
  <si>
    <t>May-22</t>
  </si>
  <si>
    <t>58</t>
  </si>
  <si>
    <t>Soft LOC (cum)</t>
  </si>
  <si>
    <t>Soft LOC (prev)</t>
  </si>
  <si>
    <t>Net Soft LOC</t>
  </si>
  <si>
    <t>Homes RFS (cum)</t>
  </si>
  <si>
    <t>Homes RFS (prev)</t>
  </si>
  <si>
    <t>Homes RFS</t>
  </si>
  <si>
    <t>Homes Passed (cum)</t>
  </si>
  <si>
    <t>Homes Passed (prev)</t>
  </si>
  <si>
    <t>Homes Passed</t>
  </si>
  <si>
    <t>Resolved LOC</t>
  </si>
  <si>
    <t>New RFS</t>
  </si>
  <si>
    <t>New LOC</t>
  </si>
  <si>
    <t>Reverted to LOC</t>
  </si>
  <si>
    <t>Removed LOC</t>
  </si>
  <si>
    <t>Removed RFS</t>
  </si>
  <si>
    <t>New LOC MDU</t>
  </si>
  <si>
    <t>MDU Passed (cum)</t>
  </si>
  <si>
    <t>Row Number</t>
  </si>
  <si>
    <t>Month</t>
  </si>
  <si>
    <t>City</t>
  </si>
  <si>
    <t>Region</t>
  </si>
  <si>
    <t>City 1</t>
  </si>
  <si>
    <t>City 2</t>
  </si>
  <si>
    <t>City 3</t>
  </si>
  <si>
    <t>City 4</t>
  </si>
  <si>
    <t>City 5</t>
  </si>
  <si>
    <t>City 6</t>
  </si>
  <si>
    <t>City 7</t>
  </si>
  <si>
    <t>City 8</t>
  </si>
  <si>
    <t>City 9</t>
  </si>
  <si>
    <t>City 10</t>
  </si>
  <si>
    <t>City 11</t>
  </si>
  <si>
    <t>City 12</t>
  </si>
  <si>
    <t>City 13</t>
  </si>
  <si>
    <t>City 14</t>
  </si>
  <si>
    <t>City 15</t>
  </si>
  <si>
    <t>City 16</t>
  </si>
  <si>
    <t>City 17</t>
  </si>
  <si>
    <t>City 18</t>
  </si>
  <si>
    <t>City 19</t>
  </si>
  <si>
    <t>City 20</t>
  </si>
  <si>
    <t>City 21</t>
  </si>
  <si>
    <t>City 22</t>
  </si>
  <si>
    <t>City 23</t>
  </si>
  <si>
    <t>City 24</t>
  </si>
  <si>
    <t>City 25</t>
  </si>
  <si>
    <t>City 26</t>
  </si>
  <si>
    <t>City 27</t>
  </si>
  <si>
    <t>City 28</t>
  </si>
  <si>
    <t>City 29</t>
  </si>
  <si>
    <t>City 30</t>
  </si>
  <si>
    <t>City 31</t>
  </si>
  <si>
    <t>City 32</t>
  </si>
  <si>
    <t>City 33</t>
  </si>
  <si>
    <t>City 34</t>
  </si>
  <si>
    <t>City 35</t>
  </si>
  <si>
    <t>City 36</t>
  </si>
  <si>
    <t>City 37</t>
  </si>
  <si>
    <t>City 38</t>
  </si>
  <si>
    <t>City 39</t>
  </si>
  <si>
    <t>City 40</t>
  </si>
  <si>
    <t>City 41</t>
  </si>
  <si>
    <t>City 42</t>
  </si>
  <si>
    <t>City 43</t>
  </si>
  <si>
    <t>City 44</t>
  </si>
  <si>
    <t>City 45</t>
  </si>
  <si>
    <t>City 46</t>
  </si>
  <si>
    <t>City 47</t>
  </si>
  <si>
    <t>City 48</t>
  </si>
  <si>
    <t>City 49</t>
  </si>
  <si>
    <t>City 50</t>
  </si>
  <si>
    <t>City 51</t>
  </si>
  <si>
    <t>City 52</t>
  </si>
  <si>
    <t>City 53</t>
  </si>
  <si>
    <t>City 54</t>
  </si>
  <si>
    <t>City 55</t>
  </si>
  <si>
    <t>City 56</t>
  </si>
  <si>
    <t>City 57</t>
  </si>
  <si>
    <t>City 58</t>
  </si>
  <si>
    <t>Grand Total</t>
  </si>
  <si>
    <t>Values</t>
  </si>
  <si>
    <t>Sum of Homes RFS (cum)</t>
  </si>
  <si>
    <t>Sum of Homes Passed (cum)</t>
  </si>
  <si>
    <t>Sum of Soft LOC (prev)</t>
  </si>
  <si>
    <t>Region Drop Down</t>
  </si>
  <si>
    <t xml:space="preserve">Select type of file </t>
  </si>
  <si>
    <t>xlsx</t>
  </si>
  <si>
    <t>csv</t>
  </si>
  <si>
    <t>Sum of Net Soft LOC</t>
  </si>
  <si>
    <t>Sum of Homes RFS</t>
  </si>
  <si>
    <t>Sum of Homes Passed</t>
  </si>
  <si>
    <t>LOC</t>
  </si>
  <si>
    <t>RFS</t>
  </si>
  <si>
    <t>Passed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</si>
  <si>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</si>
  <si>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</si>
  <si>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</si>
  <si>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</si>
  <si>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</si>
  <si>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</si>
  <si>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</si>
  <si>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</si>
  <si>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</si>
  <si>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</si>
  <si>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</si>
  <si>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</si>
  <si>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</si>
  <si>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Sum of Soft LOC (cum)</t>
  </si>
  <si>
    <t>Total Sum of Soft LOC (cum)</t>
  </si>
  <si>
    <t>Total Sum of Soft LOC (prev)</t>
  </si>
  <si>
    <t>Total Sum of Net Soft LOC</t>
  </si>
  <si>
    <t>Total Sum of Homes RFS (cum)</t>
  </si>
  <si>
    <t>Total Sum of Homes RFS (prev)</t>
  </si>
  <si>
    <t>Sum of Homes RFS (prev)</t>
  </si>
  <si>
    <t>Total Sum of Homes RFS</t>
  </si>
  <si>
    <t>Total Sum of Homes Passed (cum)</t>
  </si>
  <si>
    <t>Total Sum of Homes Passed (prev)</t>
  </si>
  <si>
    <t>Sum of Homes Passed (prev)</t>
  </si>
  <si>
    <t>Total Sum of Homes Passed</t>
  </si>
  <si>
    <t>Total Sum of MDU Passed (cum)</t>
  </si>
  <si>
    <t>Sum of MDU Passed (cum)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</si>
</sst>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name val="Calibri"/>
    </font>
    <font>
      <sz val="8"/>
      <color rgb="FF000000"/>
      <name val="Arial"/>
      <family val="2"/>
    </font>
    <font>
      <sz val="8"/>
      <name val="Calibri"/>
    </font>
    <font>
      <b/>
      <sz val="8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</font>
    <font>
      <i/>
      <sz val="11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 applyAlignment="1">
      <alignment horizontal="left" vertical="top"/>
    </xf>
    <xf numFmtId="37" fontId="1" fillId="0" borderId="4" xfId="0" applyNumberFormat="1" applyFont="1" applyBorder="1" applyAlignment="1">
      <alignment horizontal="center" vertical="center"/>
    </xf>
    <xf numFmtId="37" fontId="1" fillId="0" borderId="4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horizontal="left"/>
    </xf>
    <xf numFmtId="37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2" borderId="0" xfId="0" applyFill="1"/>
    <xf numFmtId="0" fontId="3" fillId="3" borderId="3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center"/>
    </xf>
    <xf numFmtId="16" fontId="0" fillId="0" borderId="0" xfId="0" applyNumberFormat="1"/>
    <xf numFmtId="0" fontId="4" fillId="0" borderId="0" xfId="0" applyFont="1"/>
    <xf numFmtId="0" fontId="5" fillId="0" borderId="0" xfId="0" applyFont="1"/>
    <xf numFmtId="0" fontId="1" fillId="0" borderId="4" xfId="0" applyNumberFormat="1" applyFont="1" applyBorder="1" applyAlignment="1">
      <alignment horizontal="center" vertical="center"/>
    </xf>
    <xf numFmtId="0" fontId="3" fillId="2" borderId="3" xfId="0" applyFont="1" applyFill="1" applyBorder="1" applyAlignment="1">
      <alignment horizontal="left"/>
    </xf>
    <xf numFmtId="0" fontId="3" fillId="2" borderId="2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0" fillId="0" borderId="4" xfId="0" applyFill="1" applyBorder="1" applyAlignment="1"/>
    <xf numFmtId="0" fontId="0" fillId="0" borderId="5" xfId="0" applyFill="1" applyBorder="1" applyAlignment="1"/>
    <xf numFmtId="0" fontId="6" fillId="0" borderId="6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[PMO Graduate Analyst Test.xlsm]Pivot table!PivotTable1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9413994950348521E-2"/>
          <c:y val="0.27897994622611727"/>
          <c:w val="0.84289404063535878"/>
          <c:h val="0.697684256766528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'Pivot table'!$B$3:$B$4</c:f>
              <c:strCache>
                <c:ptCount val="1"/>
                <c:pt idx="0">
                  <c:v>Sum of Net Soft LOC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table'!$A$5:$A$10</c:f>
              <c:strCache>
                <c:ptCount val="5"/>
                <c:pt idx="0">
                  <c:v>Midlands</c:v>
                </c:pt>
                <c:pt idx="1">
                  <c:v>North &amp; North West</c:v>
                </c:pt>
                <c:pt idx="2">
                  <c:v>Scot &amp; North East</c:v>
                </c:pt>
                <c:pt idx="3">
                  <c:v>South East</c:v>
                </c:pt>
                <c:pt idx="4">
                  <c:v>South West</c:v>
                </c:pt>
              </c:strCache>
            </c:strRef>
          </c:cat>
          <c:val>
            <c:numRef>
              <c:f>'Pivot table'!$B$5:$B$10</c:f>
              <c:numCache>
                <c:formatCode>General</c:formatCode>
                <c:ptCount val="5"/>
                <c:pt idx="0">
                  <c:v>284</c:v>
                </c:pt>
                <c:pt idx="1">
                  <c:v>70</c:v>
                </c:pt>
                <c:pt idx="2">
                  <c:v>397</c:v>
                </c:pt>
                <c:pt idx="3">
                  <c:v>-267</c:v>
                </c:pt>
                <c:pt idx="4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6B-4F94-BC52-3CF9C0A147E9}"/>
            </c:ext>
          </c:extLst>
        </c:ser>
        <c:ser>
          <c:idx val="1"/>
          <c:order val="1"/>
          <c:tx>
            <c:strRef>
              <c:f>'Pivot table'!$C$3:$C$4</c:f>
              <c:strCache>
                <c:ptCount val="1"/>
                <c:pt idx="0">
                  <c:v>Sum of Homes RFS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table'!$A$5:$A$10</c:f>
              <c:strCache>
                <c:ptCount val="5"/>
                <c:pt idx="0">
                  <c:v>Midlands</c:v>
                </c:pt>
                <c:pt idx="1">
                  <c:v>North &amp; North West</c:v>
                </c:pt>
                <c:pt idx="2">
                  <c:v>Scot &amp; North East</c:v>
                </c:pt>
                <c:pt idx="3">
                  <c:v>South East</c:v>
                </c:pt>
                <c:pt idx="4">
                  <c:v>South West</c:v>
                </c:pt>
              </c:strCache>
            </c:strRef>
          </c:cat>
          <c:val>
            <c:numRef>
              <c:f>'Pivot table'!$C$5:$C$10</c:f>
              <c:numCache>
                <c:formatCode>General</c:formatCode>
                <c:ptCount val="5"/>
                <c:pt idx="0">
                  <c:v>2626</c:v>
                </c:pt>
                <c:pt idx="1">
                  <c:v>1004</c:v>
                </c:pt>
                <c:pt idx="2">
                  <c:v>1366</c:v>
                </c:pt>
                <c:pt idx="3">
                  <c:v>746</c:v>
                </c:pt>
                <c:pt idx="4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F91-4F9B-8158-A2EC19291F31}"/>
            </c:ext>
          </c:extLst>
        </c:ser>
        <c:ser>
          <c:idx val="2"/>
          <c:order val="2"/>
          <c:tx>
            <c:strRef>
              <c:f>'Pivot table'!$D$3:$D$4</c:f>
              <c:strCache>
                <c:ptCount val="1"/>
                <c:pt idx="0">
                  <c:v>Sum of Homes Passed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table'!$A$5:$A$10</c:f>
              <c:strCache>
                <c:ptCount val="5"/>
                <c:pt idx="0">
                  <c:v>Midlands</c:v>
                </c:pt>
                <c:pt idx="1">
                  <c:v>North &amp; North West</c:v>
                </c:pt>
                <c:pt idx="2">
                  <c:v>Scot &amp; North East</c:v>
                </c:pt>
                <c:pt idx="3">
                  <c:v>South East</c:v>
                </c:pt>
                <c:pt idx="4">
                  <c:v>South West</c:v>
                </c:pt>
              </c:strCache>
            </c:strRef>
          </c:cat>
          <c:val>
            <c:numRef>
              <c:f>'Pivot table'!$D$5:$D$10</c:f>
              <c:numCache>
                <c:formatCode>General</c:formatCode>
                <c:ptCount val="5"/>
                <c:pt idx="0">
                  <c:v>2910</c:v>
                </c:pt>
                <c:pt idx="1">
                  <c:v>1074</c:v>
                </c:pt>
                <c:pt idx="2">
                  <c:v>1763</c:v>
                </c:pt>
                <c:pt idx="3">
                  <c:v>479</c:v>
                </c:pt>
                <c:pt idx="4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F91-4F9B-8158-A2EC19291F3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45573599"/>
        <c:axId val="645576095"/>
      </c:barChart>
      <c:catAx>
        <c:axId val="6455735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576095"/>
        <c:crosses val="autoZero"/>
        <c:auto val="1"/>
        <c:lblAlgn val="ctr"/>
        <c:lblOffset val="100"/>
        <c:noMultiLvlLbl val="0"/>
      </c:catAx>
      <c:valAx>
        <c:axId val="64557609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5573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6586063"/>
        <c:axId val="2032575871"/>
      </c:barChart>
      <c:catAx>
        <c:axId val="203658606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2575871"/>
        <c:crosses val="autoZero"/>
        <c:auto val="1"/>
        <c:lblAlgn val="ctr"/>
        <c:lblOffset val="100"/>
        <c:noMultiLvlLbl val="0"/>
      </c:catAx>
      <c:valAx>
        <c:axId val="2032575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5860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[PMO Graduate Analyst Test.xlsm]LOC graphs!PivotTable2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triangle"/>
          <c:size val="6"/>
          <c:spPr>
            <a:solidFill>
              <a:schemeClr val="accent3"/>
            </a:solidFill>
            <a:ln w="9525">
              <a:solidFill>
                <a:schemeClr val="accent3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dot"/>
          <c:size val="6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dash"/>
          <c:size val="6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triangle"/>
          <c:size val="6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dot"/>
          <c:size val="6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>
                <a:lumMod val="80000"/>
              </a:schemeClr>
            </a:solidFill>
            <a:ln w="9525">
              <a:solidFill>
                <a:schemeClr val="accent1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triangle"/>
          <c:size val="6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accent6">
                <a:lumMod val="80000"/>
              </a:schemeClr>
            </a:solidFill>
            <a:ln w="9525">
              <a:solidFill>
                <a:schemeClr val="accent6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dash"/>
          <c:size val="6"/>
          <c:spPr>
            <a:solidFill>
              <a:schemeClr val="accent3">
                <a:lumMod val="60000"/>
                <a:lumOff val="40000"/>
              </a:schemeClr>
            </a:solidFill>
            <a:ln w="9525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5">
                <a:lumMod val="60000"/>
                <a:lumOff val="40000"/>
              </a:schemeClr>
            </a:solidFill>
            <a:ln w="9525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2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3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dot"/>
          <c:size val="6"/>
          <c:spPr>
            <a:solidFill>
              <a:schemeClr val="accent5">
                <a:lumMod val="50000"/>
              </a:schemeClr>
            </a:solidFill>
            <a:ln w="9525">
              <a:solidFill>
                <a:schemeClr val="accent5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dash"/>
          <c:size val="6"/>
          <c:spPr>
            <a:solidFill>
              <a:schemeClr val="accent6">
                <a:lumMod val="50000"/>
              </a:schemeClr>
            </a:solidFill>
            <a:ln w="9525">
              <a:solidFill>
                <a:schemeClr val="accent6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>
                <a:lumMod val="70000"/>
                <a:lumOff val="30000"/>
              </a:schemeClr>
            </a:solidFill>
            <a:ln w="9525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triangle"/>
          <c:size val="6"/>
          <c:spPr>
            <a:solidFill>
              <a:schemeClr val="accent3">
                <a:lumMod val="70000"/>
                <a:lumOff val="30000"/>
              </a:schemeClr>
            </a:solidFill>
            <a:ln w="9525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3"/>
          </a:solidFill>
          <a:ln>
            <a:noFill/>
          </a:ln>
          <a:effectLst/>
        </c:spPr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</c:pivotFmt>
      <c:pivotFmt>
        <c:idx val="238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</c:pivotFmt>
      <c:pivotFmt>
        <c:idx val="239"/>
        <c:spPr>
          <a:solidFill>
            <a:schemeClr val="accent5"/>
          </a:solidFill>
          <a:ln>
            <a:noFill/>
          </a:ln>
          <a:effectLst/>
        </c:spPr>
      </c:pivotFmt>
      <c:pivotFmt>
        <c:idx val="240"/>
        <c:dLbl>
          <c:idx val="0"/>
          <c:layout>
            <c:manualLayout>
              <c:x val="4.0856843968957751E-2"/>
              <c:y val="-1.1074046147236533E-2"/>
            </c:manualLayout>
          </c:layout>
          <c:tx>
            <c:rich>
              <a:bodyPr/>
              <a:lstStyle/>
              <a:p>
                <a:fld id="{9287828C-C2A9-4F6B-B237-478880E532F9}" type="VALUE">
                  <a:rPr lang="en-US"/>
                  <a:pPr/>
                  <a:t>[VALUE]</a:t>
                </a:fld>
                <a:endParaRPr lang="en-GB"/>
              </a:p>
            </c:rich>
          </c:tx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241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</c:pivotFmt>
      <c:pivotFmt>
        <c:idx val="242"/>
        <c:spPr>
          <a:solidFill>
            <a:schemeClr val="accent3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243"/>
        <c:spPr>
          <a:solidFill>
            <a:schemeClr val="accent1">
              <a:lumMod val="80000"/>
            </a:schemeClr>
          </a:solidFill>
          <a:ln>
            <a:noFill/>
          </a:ln>
          <a:effectLst/>
        </c:spPr>
      </c:pivotFmt>
      <c:pivotFmt>
        <c:idx val="244"/>
        <c:spPr>
          <a:solidFill>
            <a:schemeClr val="accent5">
              <a:lumMod val="80000"/>
              <a:lumOff val="20000"/>
            </a:schemeClr>
          </a:solidFill>
          <a:ln>
            <a:noFill/>
          </a:ln>
          <a:effectLst/>
        </c:spPr>
      </c:pivotFmt>
      <c:pivotFmt>
        <c:idx val="245"/>
        <c:spPr>
          <a:solidFill>
            <a:schemeClr val="accent5">
              <a:lumMod val="80000"/>
            </a:schemeClr>
          </a:solidFill>
          <a:ln>
            <a:noFill/>
          </a:ln>
          <a:effectLst/>
        </c:spPr>
      </c:pivotFmt>
      <c:pivotFmt>
        <c:idx val="246"/>
        <c:spPr>
          <a:solidFill>
            <a:schemeClr val="accent3">
              <a:lumMod val="80000"/>
            </a:schemeClr>
          </a:solidFill>
          <a:ln>
            <a:noFill/>
          </a:ln>
          <a:effectLst/>
        </c:spP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4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2">
                <a:lumMod val="70000"/>
                <a:lumOff val="30000"/>
              </a:schemeClr>
            </a:solidFill>
            <a:ln w="9525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2"/>
            </a:solidFill>
            <a:ln w="9525">
              <a:solidFill>
                <a:schemeClr val="accent2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accent6"/>
            </a:solidFill>
            <a:ln w="9525">
              <a:solidFill>
                <a:schemeClr val="accent6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dash"/>
          <c:size val="6"/>
          <c:spPr>
            <a:solidFill>
              <a:schemeClr val="accent6">
                <a:lumMod val="80000"/>
                <a:lumOff val="20000"/>
              </a:schemeClr>
            </a:solidFill>
            <a:ln w="9525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dot"/>
          <c:size val="6"/>
          <c:spPr>
            <a:solidFill>
              <a:schemeClr val="accent2">
                <a:lumMod val="60000"/>
                <a:lumOff val="40000"/>
              </a:schemeClr>
            </a:solidFill>
            <a:ln w="9525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triangle"/>
          <c:size val="6"/>
          <c:spPr>
            <a:solidFill>
              <a:schemeClr val="accent6">
                <a:lumMod val="60000"/>
                <a:lumOff val="40000"/>
              </a:schemeClr>
            </a:solidFill>
            <a:ln w="9525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258"/>
        <c:spPr>
          <a:solidFill>
            <a:schemeClr val="accent2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'LOC graphs'!$B$3:$B$5</c:f>
              <c:strCache>
                <c:ptCount val="1"/>
                <c:pt idx="0">
                  <c:v>City 10 - Sum of Soft LOC (cum)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graphs'!$B$6:$B$7</c:f>
              <c:numCache>
                <c:formatCode>General</c:formatCode>
                <c:ptCount val="1"/>
                <c:pt idx="0">
                  <c:v>5125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8F-40CB-97E7-72A19A262E2E}"/>
            </c:ext>
          </c:extLst>
        </c:ser>
        <c:ser>
          <c:idx val="1"/>
          <c:order val="1"/>
          <c:tx>
            <c:strRef>
              <c:f>'LOC graphs'!$C$3:$C$5</c:f>
              <c:strCache>
                <c:ptCount val="1"/>
                <c:pt idx="0">
                  <c:v>City 10 - Sum of MDU Passed (cum)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graphs'!$C$6:$C$7</c:f>
              <c:numCache>
                <c:formatCode>General</c:formatCode>
                <c:ptCount val="1"/>
                <c:pt idx="0">
                  <c:v>6825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F-40CB-97E7-72A19A262E2E}"/>
            </c:ext>
          </c:extLst>
        </c:ser>
        <c:ser>
          <c:idx val="2"/>
          <c:order val="2"/>
          <c:tx>
            <c:strRef>
              <c:f>'LOC graphs'!$D$3:$D$5</c:f>
              <c:strCache>
                <c:ptCount val="1"/>
                <c:pt idx="0">
                  <c:v>City 10 - Sum of Soft LOC (prev)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graphs'!$D$6:$D$7</c:f>
              <c:numCache>
                <c:formatCode>General</c:formatCode>
                <c:ptCount val="1"/>
                <c:pt idx="0">
                  <c:v>5124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F-40CB-97E7-72A19A262E2E}"/>
            </c:ext>
          </c:extLst>
        </c:ser>
        <c:ser>
          <c:idx val="3"/>
          <c:order val="3"/>
          <c:tx>
            <c:strRef>
              <c:f>'LOC graphs'!$E$3:$E$5</c:f>
              <c:strCache>
                <c:ptCount val="1"/>
                <c:pt idx="0">
                  <c:v>City 10 - Sum of Net Soft LOC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graphs'!$E$6:$E$7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F-40CB-97E7-72A19A262E2E}"/>
            </c:ext>
          </c:extLst>
        </c:ser>
        <c:ser>
          <c:idx val="4"/>
          <c:order val="4"/>
          <c:tx>
            <c:strRef>
              <c:f>'LOC graphs'!$F$3:$F$5</c:f>
              <c:strCache>
                <c:ptCount val="1"/>
                <c:pt idx="0">
                  <c:v>City 14 - Sum of Soft LOC (cum)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graphs'!$F$6:$F$7</c:f>
              <c:numCache>
                <c:formatCode>General</c:formatCode>
                <c:ptCount val="1"/>
                <c:pt idx="0">
                  <c:v>17241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F-40CB-97E7-72A19A262E2E}"/>
            </c:ext>
          </c:extLst>
        </c:ser>
        <c:ser>
          <c:idx val="5"/>
          <c:order val="5"/>
          <c:tx>
            <c:strRef>
              <c:f>'LOC graphs'!$G$3:$G$5</c:f>
              <c:strCache>
                <c:ptCount val="1"/>
                <c:pt idx="0">
                  <c:v>City 14 - Sum of MDU Passed (cum)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graphs'!$G$6:$G$7</c:f>
              <c:numCache>
                <c:formatCode>General</c:formatCode>
                <c:ptCount val="1"/>
                <c:pt idx="0">
                  <c:v>16649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F-40CB-97E7-72A19A262E2E}"/>
            </c:ext>
          </c:extLst>
        </c:ser>
        <c:ser>
          <c:idx val="6"/>
          <c:order val="6"/>
          <c:tx>
            <c:strRef>
              <c:f>'LOC graphs'!$H$3:$H$5</c:f>
              <c:strCache>
                <c:ptCount val="1"/>
                <c:pt idx="0">
                  <c:v>City 14 - Sum of Soft LOC (prev)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graphs'!$H$6:$H$7</c:f>
              <c:numCache>
                <c:formatCode>General</c:formatCode>
                <c:ptCount val="1"/>
                <c:pt idx="0">
                  <c:v>17321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F-40CB-97E7-72A19A262E2E}"/>
            </c:ext>
          </c:extLst>
        </c:ser>
        <c:ser>
          <c:idx val="7"/>
          <c:order val="7"/>
          <c:tx>
            <c:strRef>
              <c:f>'LOC graphs'!$I$3:$I$5</c:f>
              <c:strCache>
                <c:ptCount val="1"/>
                <c:pt idx="0">
                  <c:v>City 14 - Sum of Net Soft LOC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graphs'!$I$6:$I$7</c:f>
              <c:numCache>
                <c:formatCode>General</c:formatCode>
                <c:ptCount val="1"/>
                <c:pt idx="0">
                  <c:v>-80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F-40CB-97E7-72A19A262E2E}"/>
            </c:ext>
          </c:extLst>
        </c:ser>
        <c:ser>
          <c:idx val="8"/>
          <c:order val="8"/>
          <c:tx>
            <c:strRef>
              <c:f>'LOC graphs'!$J$3:$J$5</c:f>
              <c:strCache>
                <c:ptCount val="1"/>
                <c:pt idx="0">
                  <c:v>City 16 - Sum of Soft LOC (cum)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graphs'!$J$6:$J$7</c:f>
              <c:numCache>
                <c:formatCode>General</c:formatCode>
                <c:ptCount val="1"/>
                <c:pt idx="0">
                  <c:v>3671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F-40CB-97E7-72A19A262E2E}"/>
            </c:ext>
          </c:extLst>
        </c:ser>
        <c:ser>
          <c:idx val="9"/>
          <c:order val="9"/>
          <c:tx>
            <c:strRef>
              <c:f>'LOC graphs'!$K$3:$K$5</c:f>
              <c:strCache>
                <c:ptCount val="1"/>
                <c:pt idx="0">
                  <c:v>City 16 - Sum of MDU Passed (cum)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graphs'!$K$6:$K$7</c:f>
              <c:numCache>
                <c:formatCode>General</c:formatCode>
                <c:ptCount val="1"/>
                <c:pt idx="0">
                  <c:v>5601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F-40CB-97E7-72A19A262E2E}"/>
            </c:ext>
          </c:extLst>
        </c:ser>
        <c:ser>
          <c:idx val="10"/>
          <c:order val="10"/>
          <c:tx>
            <c:strRef>
              <c:f>'LOC graphs'!$L$3:$L$5</c:f>
              <c:strCache>
                <c:ptCount val="1"/>
                <c:pt idx="0">
                  <c:v>City 16 - Sum of Soft LOC (prev)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graphs'!$L$6:$L$7</c:f>
              <c:numCache>
                <c:formatCode>General</c:formatCode>
                <c:ptCount val="1"/>
                <c:pt idx="0">
                  <c:v>3626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F-40CB-97E7-72A19A262E2E}"/>
            </c:ext>
          </c:extLst>
        </c:ser>
        <c:ser>
          <c:idx val="11"/>
          <c:order val="11"/>
          <c:tx>
            <c:strRef>
              <c:f>'LOC graphs'!$M$3:$M$5</c:f>
              <c:strCache>
                <c:ptCount val="1"/>
                <c:pt idx="0">
                  <c:v>City 16 - Sum of Net Soft LOC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graphs'!$M$6:$M$7</c:f>
              <c:numCache>
                <c:formatCode>General</c:formatCode>
                <c:ptCount val="1"/>
                <c:pt idx="0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F-40CB-97E7-72A19A262E2E}"/>
            </c:ext>
          </c:extLst>
        </c:ser>
        <c:ser>
          <c:idx val="12"/>
          <c:order val="12"/>
          <c:tx>
            <c:strRef>
              <c:f>'LOC graphs'!$N$3:$N$5</c:f>
              <c:strCache>
                <c:ptCount val="1"/>
                <c:pt idx="0">
                  <c:v>City 30 - Sum of Soft LOC (cum)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graphs'!$N$6:$N$7</c:f>
              <c:numCache>
                <c:formatCode>General</c:formatCode>
                <c:ptCount val="1"/>
                <c:pt idx="0">
                  <c:v>7530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F-40CB-97E7-72A19A262E2E}"/>
            </c:ext>
          </c:extLst>
        </c:ser>
        <c:ser>
          <c:idx val="13"/>
          <c:order val="13"/>
          <c:tx>
            <c:strRef>
              <c:f>'LOC graphs'!$O$3:$O$5</c:f>
              <c:strCache>
                <c:ptCount val="1"/>
                <c:pt idx="0">
                  <c:v>City 30 - Sum of MDU Passed (cum)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graphs'!$O$6:$O$7</c:f>
              <c:numCache>
                <c:formatCode>General</c:formatCode>
                <c:ptCount val="1"/>
                <c:pt idx="0">
                  <c:v>7554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F8F-40CB-97E7-72A19A262E2E}"/>
            </c:ext>
          </c:extLst>
        </c:ser>
        <c:ser>
          <c:idx val="14"/>
          <c:order val="14"/>
          <c:tx>
            <c:strRef>
              <c:f>'LOC graphs'!$P$3:$P$5</c:f>
              <c:strCache>
                <c:ptCount val="1"/>
                <c:pt idx="0">
                  <c:v>City 30 - Sum of Soft LOC (prev)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graphs'!$P$6:$P$7</c:f>
              <c:numCache>
                <c:formatCode>General</c:formatCode>
                <c:ptCount val="1"/>
                <c:pt idx="0">
                  <c:v>7405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F8F-40CB-97E7-72A19A262E2E}"/>
            </c:ext>
          </c:extLst>
        </c:ser>
        <c:ser>
          <c:idx val="15"/>
          <c:order val="15"/>
          <c:tx>
            <c:strRef>
              <c:f>'LOC graphs'!$Q$3:$Q$5</c:f>
              <c:strCache>
                <c:ptCount val="1"/>
                <c:pt idx="0">
                  <c:v>City 30 - Sum of Net Soft LOC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graphs'!$Q$6:$Q$7</c:f>
              <c:numCache>
                <c:formatCode>General</c:formatCode>
                <c:ptCount val="1"/>
                <c:pt idx="0">
                  <c:v>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F8F-40CB-97E7-72A19A262E2E}"/>
            </c:ext>
          </c:extLst>
        </c:ser>
        <c:ser>
          <c:idx val="16"/>
          <c:order val="16"/>
          <c:tx>
            <c:strRef>
              <c:f>'LOC graphs'!$R$3:$R$5</c:f>
              <c:strCache>
                <c:ptCount val="1"/>
                <c:pt idx="0">
                  <c:v>City 34 - Sum of Soft LOC (cum)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graphs'!$R$6:$R$7</c:f>
              <c:numCache>
                <c:formatCode>General</c:formatCode>
                <c:ptCount val="1"/>
                <c:pt idx="0">
                  <c:v>4241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F8F-40CB-97E7-72A19A262E2E}"/>
            </c:ext>
          </c:extLst>
        </c:ser>
        <c:ser>
          <c:idx val="17"/>
          <c:order val="17"/>
          <c:tx>
            <c:strRef>
              <c:f>'LOC graphs'!$S$3:$S$5</c:f>
              <c:strCache>
                <c:ptCount val="1"/>
                <c:pt idx="0">
                  <c:v>City 34 - Sum of MDU Passed (cum)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graphs'!$S$6:$S$7</c:f>
              <c:numCache>
                <c:formatCode>General</c:formatCode>
                <c:ptCount val="1"/>
                <c:pt idx="0">
                  <c:v>10508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F8F-40CB-97E7-72A19A262E2E}"/>
            </c:ext>
          </c:extLst>
        </c:ser>
        <c:ser>
          <c:idx val="18"/>
          <c:order val="18"/>
          <c:tx>
            <c:strRef>
              <c:f>'LOC graphs'!$T$3:$T$5</c:f>
              <c:strCache>
                <c:ptCount val="1"/>
                <c:pt idx="0">
                  <c:v>City 34 - Sum of Soft LOC (prev)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graphs'!$T$6:$T$7</c:f>
              <c:numCache>
                <c:formatCode>General</c:formatCode>
                <c:ptCount val="1"/>
                <c:pt idx="0">
                  <c:v>4084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F8F-40CB-97E7-72A19A262E2E}"/>
            </c:ext>
          </c:extLst>
        </c:ser>
        <c:ser>
          <c:idx val="19"/>
          <c:order val="19"/>
          <c:tx>
            <c:strRef>
              <c:f>'LOC graphs'!$U$3:$U$5</c:f>
              <c:strCache>
                <c:ptCount val="1"/>
                <c:pt idx="0">
                  <c:v>City 34 - Sum of Net Soft LOC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graphs'!$U$6:$U$7</c:f>
              <c:numCache>
                <c:formatCode>General</c:formatCode>
                <c:ptCount val="1"/>
                <c:pt idx="0">
                  <c:v>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F8F-40CB-97E7-72A19A262E2E}"/>
            </c:ext>
          </c:extLst>
        </c:ser>
        <c:ser>
          <c:idx val="20"/>
          <c:order val="20"/>
          <c:tx>
            <c:strRef>
              <c:f>'LOC graphs'!$V$3:$V$5</c:f>
              <c:strCache>
                <c:ptCount val="1"/>
                <c:pt idx="0">
                  <c:v>City 37 - Sum of Soft LOC (cum)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graphs'!$V$6:$V$7</c:f>
              <c:numCache>
                <c:formatCode>General</c:formatCode>
                <c:ptCount val="1"/>
                <c:pt idx="0">
                  <c:v>5399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F8F-40CB-97E7-72A19A262E2E}"/>
            </c:ext>
          </c:extLst>
        </c:ser>
        <c:ser>
          <c:idx val="21"/>
          <c:order val="21"/>
          <c:tx>
            <c:strRef>
              <c:f>'LOC graphs'!$W$3:$W$5</c:f>
              <c:strCache>
                <c:ptCount val="1"/>
                <c:pt idx="0">
                  <c:v>City 37 - Sum of MDU Passed (cum)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graphs'!$W$6:$W$7</c:f>
              <c:numCache>
                <c:formatCode>General</c:formatCode>
                <c:ptCount val="1"/>
                <c:pt idx="0">
                  <c:v>6096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F8F-40CB-97E7-72A19A262E2E}"/>
            </c:ext>
          </c:extLst>
        </c:ser>
        <c:ser>
          <c:idx val="22"/>
          <c:order val="22"/>
          <c:tx>
            <c:strRef>
              <c:f>'LOC graphs'!$X$3:$X$5</c:f>
              <c:strCache>
                <c:ptCount val="1"/>
                <c:pt idx="0">
                  <c:v>City 37 - Sum of Soft LOC (prev)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graphs'!$X$6:$X$7</c:f>
              <c:numCache>
                <c:formatCode>General</c:formatCode>
                <c:ptCount val="1"/>
                <c:pt idx="0">
                  <c:v>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F8F-40CB-97E7-72A19A262E2E}"/>
            </c:ext>
          </c:extLst>
        </c:ser>
        <c:ser>
          <c:idx val="23"/>
          <c:order val="23"/>
          <c:tx>
            <c:strRef>
              <c:f>'LOC graphs'!$Y$3:$Y$5</c:f>
              <c:strCache>
                <c:ptCount val="1"/>
                <c:pt idx="0">
                  <c:v>City 37 - Sum of Net Soft LOC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graphs'!$Y$6:$Y$7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F8F-40CB-97E7-72A19A262E2E}"/>
            </c:ext>
          </c:extLst>
        </c:ser>
        <c:ser>
          <c:idx val="24"/>
          <c:order val="24"/>
          <c:tx>
            <c:strRef>
              <c:f>'LOC graphs'!$Z$3:$Z$5</c:f>
              <c:strCache>
                <c:ptCount val="1"/>
                <c:pt idx="0">
                  <c:v>City 39 - Sum of Soft LOC (cum)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graphs'!$Z$6:$Z$7</c:f>
              <c:numCache>
                <c:formatCode>General</c:formatCode>
                <c:ptCount val="1"/>
                <c:pt idx="0">
                  <c:v>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F8F-40CB-97E7-72A19A262E2E}"/>
            </c:ext>
          </c:extLst>
        </c:ser>
        <c:ser>
          <c:idx val="25"/>
          <c:order val="25"/>
          <c:tx>
            <c:strRef>
              <c:f>'LOC graphs'!$AA$3:$AA$5</c:f>
              <c:strCache>
                <c:ptCount val="1"/>
                <c:pt idx="0">
                  <c:v>City 39 - Sum of MDU Passed (cum)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graphs'!$AA$6:$AA$7</c:f>
              <c:numCache>
                <c:formatCode>General</c:formatCode>
                <c:ptCount val="1"/>
                <c:pt idx="0">
                  <c:v>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F8F-40CB-97E7-72A19A262E2E}"/>
            </c:ext>
          </c:extLst>
        </c:ser>
        <c:ser>
          <c:idx val="26"/>
          <c:order val="26"/>
          <c:tx>
            <c:strRef>
              <c:f>'LOC graphs'!$AB$3:$AB$5</c:f>
              <c:strCache>
                <c:ptCount val="1"/>
                <c:pt idx="0">
                  <c:v>City 39 - Sum of Soft LOC (prev)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graphs'!$AB$6:$AB$7</c:f>
              <c:numCache>
                <c:formatCode>General</c:formatCode>
                <c:ptCount val="1"/>
                <c:pt idx="0">
                  <c:v>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F8F-40CB-97E7-72A19A262E2E}"/>
            </c:ext>
          </c:extLst>
        </c:ser>
        <c:ser>
          <c:idx val="27"/>
          <c:order val="27"/>
          <c:tx>
            <c:strRef>
              <c:f>'LOC graphs'!$AC$3:$AC$5</c:f>
              <c:strCache>
                <c:ptCount val="1"/>
                <c:pt idx="0">
                  <c:v>City 39 - Sum of Net Soft LOC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graphs'!$AC$6:$AC$7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F8F-40CB-97E7-72A19A262E2E}"/>
            </c:ext>
          </c:extLst>
        </c:ser>
        <c:ser>
          <c:idx val="28"/>
          <c:order val="28"/>
          <c:tx>
            <c:strRef>
              <c:f>'LOC graphs'!$AD$3:$AD$5</c:f>
              <c:strCache>
                <c:ptCount val="1"/>
                <c:pt idx="0">
                  <c:v>City 40 - Sum of Soft LOC (cum)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graphs'!$AD$6:$AD$7</c:f>
              <c:numCache>
                <c:formatCode>General</c:formatCode>
                <c:ptCount val="1"/>
                <c:pt idx="0">
                  <c:v>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F8F-40CB-97E7-72A19A262E2E}"/>
            </c:ext>
          </c:extLst>
        </c:ser>
        <c:ser>
          <c:idx val="29"/>
          <c:order val="29"/>
          <c:tx>
            <c:strRef>
              <c:f>'LOC graphs'!$AE$3:$AE$5</c:f>
              <c:strCache>
                <c:ptCount val="1"/>
                <c:pt idx="0">
                  <c:v>City 40 - Sum of MDU Passed (cum)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graphs'!$AE$6:$AE$7</c:f>
              <c:numCache>
                <c:formatCode>General</c:formatCode>
                <c:ptCount val="1"/>
                <c:pt idx="0">
                  <c:v>9145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F8F-40CB-97E7-72A19A262E2E}"/>
            </c:ext>
          </c:extLst>
        </c:ser>
        <c:ser>
          <c:idx val="30"/>
          <c:order val="30"/>
          <c:tx>
            <c:strRef>
              <c:f>'LOC graphs'!$AF$3:$AF$5</c:f>
              <c:strCache>
                <c:ptCount val="1"/>
                <c:pt idx="0">
                  <c:v>City 40 - Sum of Soft LOC (prev)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graphs'!$AF$6:$AF$7</c:f>
              <c:numCache>
                <c:formatCode>General</c:formatCode>
                <c:ptCount val="1"/>
                <c:pt idx="0">
                  <c:v>3623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EAF-43EC-8ACE-65EFFACEC1F0}"/>
            </c:ext>
          </c:extLst>
        </c:ser>
        <c:ser>
          <c:idx val="31"/>
          <c:order val="31"/>
          <c:tx>
            <c:strRef>
              <c:f>'LOC graphs'!$AG$3:$AG$5</c:f>
              <c:strCache>
                <c:ptCount val="1"/>
                <c:pt idx="0">
                  <c:v>City 40 - Sum of Net Soft LOC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graphs'!$AG$6:$AG$7</c:f>
              <c:numCache>
                <c:formatCode>General</c:formatCode>
                <c:ptCount val="1"/>
                <c:pt idx="0">
                  <c:v>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EAF-43EC-8ACE-65EFFACEC1F0}"/>
            </c:ext>
          </c:extLst>
        </c:ser>
        <c:ser>
          <c:idx val="32"/>
          <c:order val="32"/>
          <c:tx>
            <c:strRef>
              <c:f>'LOC graphs'!$AH$3:$AH$5</c:f>
              <c:strCache>
                <c:ptCount val="1"/>
                <c:pt idx="0">
                  <c:v>City 50 - Sum of Soft LOC (cum)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graphs'!$AH$6:$AH$7</c:f>
              <c:numCache>
                <c:formatCode>General</c:formatCode>
                <c:ptCount val="1"/>
                <c:pt idx="0">
                  <c:v>2280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EAF-43EC-8ACE-65EFFACEC1F0}"/>
            </c:ext>
          </c:extLst>
        </c:ser>
        <c:ser>
          <c:idx val="33"/>
          <c:order val="33"/>
          <c:tx>
            <c:strRef>
              <c:f>'LOC graphs'!$AI$3:$AI$5</c:f>
              <c:strCache>
                <c:ptCount val="1"/>
                <c:pt idx="0">
                  <c:v>City 50 - Sum of MDU Passed (cum)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graphs'!$AI$6:$AI$7</c:f>
              <c:numCache>
                <c:formatCode>General</c:formatCode>
                <c:ptCount val="1"/>
                <c:pt idx="0">
                  <c:v>1725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EAF-43EC-8ACE-65EFFACEC1F0}"/>
            </c:ext>
          </c:extLst>
        </c:ser>
        <c:ser>
          <c:idx val="34"/>
          <c:order val="34"/>
          <c:tx>
            <c:strRef>
              <c:f>'LOC graphs'!$AJ$3:$AJ$5</c:f>
              <c:strCache>
                <c:ptCount val="1"/>
                <c:pt idx="0">
                  <c:v>City 50 - Sum of Soft LOC (prev)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graphs'!$AJ$6:$AJ$7</c:f>
              <c:numCache>
                <c:formatCode>General</c:formatCode>
                <c:ptCount val="1"/>
                <c:pt idx="0">
                  <c:v>2280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EAF-43EC-8ACE-65EFFACEC1F0}"/>
            </c:ext>
          </c:extLst>
        </c:ser>
        <c:ser>
          <c:idx val="35"/>
          <c:order val="35"/>
          <c:tx>
            <c:strRef>
              <c:f>'LOC graphs'!$AK$3:$AK$5</c:f>
              <c:strCache>
                <c:ptCount val="1"/>
                <c:pt idx="0">
                  <c:v>City 50 - Sum of Net Soft LOC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graphs'!$AK$6:$AK$7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F-43EC-8ACE-65EFFACEC1F0}"/>
            </c:ext>
          </c:extLst>
        </c:ser>
        <c:ser>
          <c:idx val="36"/>
          <c:order val="36"/>
          <c:tx>
            <c:strRef>
              <c:f>'LOC graphs'!$AL$3:$AL$5</c:f>
              <c:strCache>
                <c:ptCount val="1"/>
                <c:pt idx="0">
                  <c:v>City 56 - Sum of Soft LOC (cum)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graphs'!$AL$6:$AL$7</c:f>
              <c:numCache>
                <c:formatCode>General</c:formatCode>
                <c:ptCount val="1"/>
                <c:pt idx="0">
                  <c:v>3979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EAF-43EC-8ACE-65EFFACEC1F0}"/>
            </c:ext>
          </c:extLst>
        </c:ser>
        <c:ser>
          <c:idx val="37"/>
          <c:order val="37"/>
          <c:tx>
            <c:strRef>
              <c:f>'LOC graphs'!$AM$3:$AM$5</c:f>
              <c:strCache>
                <c:ptCount val="1"/>
                <c:pt idx="0">
                  <c:v>City 56 - Sum of MDU Passed (cum)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graphs'!$AM$6:$AM$7</c:f>
              <c:numCache>
                <c:formatCode>General</c:formatCode>
                <c:ptCount val="1"/>
                <c:pt idx="0">
                  <c:v>4802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EAF-43EC-8ACE-65EFFACEC1F0}"/>
            </c:ext>
          </c:extLst>
        </c:ser>
        <c:ser>
          <c:idx val="38"/>
          <c:order val="38"/>
          <c:tx>
            <c:strRef>
              <c:f>'LOC graphs'!$AN$3:$AN$5</c:f>
              <c:strCache>
                <c:ptCount val="1"/>
                <c:pt idx="0">
                  <c:v>City 56 - Sum of Soft LOC (prev)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graphs'!$AN$6:$AN$7</c:f>
              <c:numCache>
                <c:formatCode>General</c:formatCode>
                <c:ptCount val="1"/>
                <c:pt idx="0">
                  <c:v>3941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EAF-43EC-8ACE-65EFFACEC1F0}"/>
            </c:ext>
          </c:extLst>
        </c:ser>
        <c:ser>
          <c:idx val="39"/>
          <c:order val="39"/>
          <c:tx>
            <c:strRef>
              <c:f>'LOC graphs'!$AO$3:$AO$5</c:f>
              <c:strCache>
                <c:ptCount val="1"/>
                <c:pt idx="0">
                  <c:v>City 56 - Sum of Net Soft LOC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'LOC graphs'!$A$6:$A$7</c:f>
              <c:strCache>
                <c:ptCount val="1"/>
                <c:pt idx="0">
                  <c:v>Midlands</c:v>
                </c:pt>
              </c:strCache>
            </c:strRef>
          </c:cat>
          <c:val>
            <c:numRef>
              <c:f>'LOC graphs'!$AO$6:$AO$7</c:f>
              <c:numCache>
                <c:formatCode>General</c:formatCode>
                <c:ptCount val="1"/>
                <c:pt idx="0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EAF-43EC-8ACE-65EFFACEC1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axId val="665072415"/>
        <c:axId val="665071167"/>
      </c:barChart>
      <c:catAx>
        <c:axId val="6650724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5071167"/>
        <c:crosses val="autoZero"/>
        <c:auto val="1"/>
        <c:lblAlgn val="ctr"/>
        <c:lblOffset val="100"/>
        <c:noMultiLvlLbl val="0"/>
      </c:catAx>
      <c:valAx>
        <c:axId val="665071167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6507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[PMO Graduate Analyst Test.xlsm]RFS graphs!PivotTable4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</c:pivotFmt>
      <c:pivotFmt>
        <c:idx val="62"/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'RFS graphs'!$B$3:$B$5</c:f>
              <c:strCache>
                <c:ptCount val="1"/>
                <c:pt idx="0">
                  <c:v>City 11 - Sum of Homes RFS (cum)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graphs'!$B$6:$B$7</c:f>
              <c:numCache>
                <c:formatCode>General</c:formatCode>
                <c:ptCount val="1"/>
                <c:pt idx="0">
                  <c:v>9797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A-4F40-812F-7E3E64706F4A}"/>
            </c:ext>
          </c:extLst>
        </c:ser>
        <c:ser>
          <c:idx val="1"/>
          <c:order val="1"/>
          <c:tx>
            <c:strRef>
              <c:f>'RFS graphs'!$C$3:$C$5</c:f>
              <c:strCache>
                <c:ptCount val="1"/>
                <c:pt idx="0">
                  <c:v>City 11 - Sum of Homes RFS (prev)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graphs'!$C$6:$C$7</c:f>
              <c:numCache>
                <c:formatCode>General</c:formatCode>
                <c:ptCount val="1"/>
                <c:pt idx="0">
                  <c:v>9797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6A-4F40-812F-7E3E64706F4A}"/>
            </c:ext>
          </c:extLst>
        </c:ser>
        <c:ser>
          <c:idx val="2"/>
          <c:order val="2"/>
          <c:tx>
            <c:strRef>
              <c:f>'RFS graphs'!$D$3:$D$5</c:f>
              <c:strCache>
                <c:ptCount val="1"/>
                <c:pt idx="0">
                  <c:v>City 11 - Sum of Homes RFS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graphs'!$D$6:$D$7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6A-4F40-812F-7E3E64706F4A}"/>
            </c:ext>
          </c:extLst>
        </c:ser>
        <c:ser>
          <c:idx val="3"/>
          <c:order val="3"/>
          <c:tx>
            <c:strRef>
              <c:f>'RFS graphs'!$E$3:$E$5</c:f>
              <c:strCache>
                <c:ptCount val="1"/>
                <c:pt idx="0">
                  <c:v>City 11 - Sum of MDU Passed (cum)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graphs'!$E$6:$E$7</c:f>
              <c:numCache>
                <c:formatCode>General</c:formatCode>
                <c:ptCount val="1"/>
                <c:pt idx="0">
                  <c:v>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6A-4F40-812F-7E3E64706F4A}"/>
            </c:ext>
          </c:extLst>
        </c:ser>
        <c:ser>
          <c:idx val="4"/>
          <c:order val="4"/>
          <c:tx>
            <c:strRef>
              <c:f>'RFS graphs'!$F$3:$F$5</c:f>
              <c:strCache>
                <c:ptCount val="1"/>
                <c:pt idx="0">
                  <c:v>City 15 - Sum of Homes RFS (cum)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graphs'!$F$6:$F$7</c:f>
              <c:numCache>
                <c:formatCode>General</c:formatCode>
                <c:ptCount val="1"/>
                <c:pt idx="0">
                  <c:v>6721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6A-4F40-812F-7E3E64706F4A}"/>
            </c:ext>
          </c:extLst>
        </c:ser>
        <c:ser>
          <c:idx val="5"/>
          <c:order val="5"/>
          <c:tx>
            <c:strRef>
              <c:f>'RFS graphs'!$G$3:$G$5</c:f>
              <c:strCache>
                <c:ptCount val="1"/>
                <c:pt idx="0">
                  <c:v>City 15 - Sum of Homes RFS (prev)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graphs'!$G$6:$G$7</c:f>
              <c:numCache>
                <c:formatCode>General</c:formatCode>
                <c:ptCount val="1"/>
                <c:pt idx="0">
                  <c:v>6725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46A-4F40-812F-7E3E64706F4A}"/>
            </c:ext>
          </c:extLst>
        </c:ser>
        <c:ser>
          <c:idx val="6"/>
          <c:order val="6"/>
          <c:tx>
            <c:strRef>
              <c:f>'RFS graphs'!$H$3:$H$5</c:f>
              <c:strCache>
                <c:ptCount val="1"/>
                <c:pt idx="0">
                  <c:v>City 15 - Sum of Homes RFS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graphs'!$H$6:$H$7</c:f>
              <c:numCache>
                <c:formatCode>General</c:formatCode>
                <c:ptCount val="1"/>
                <c:pt idx="0">
                  <c:v>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46A-4F40-812F-7E3E64706F4A}"/>
            </c:ext>
          </c:extLst>
        </c:ser>
        <c:ser>
          <c:idx val="7"/>
          <c:order val="7"/>
          <c:tx>
            <c:strRef>
              <c:f>'RFS graphs'!$I$3:$I$5</c:f>
              <c:strCache>
                <c:ptCount val="1"/>
                <c:pt idx="0">
                  <c:v>City 15 - Sum of MDU Passed (cum)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graphs'!$I$6:$I$7</c:f>
              <c:numCache>
                <c:formatCode>General</c:formatCode>
                <c:ptCount val="1"/>
                <c:pt idx="0">
                  <c:v>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46A-4F40-812F-7E3E64706F4A}"/>
            </c:ext>
          </c:extLst>
        </c:ser>
        <c:ser>
          <c:idx val="8"/>
          <c:order val="8"/>
          <c:tx>
            <c:strRef>
              <c:f>'RFS graphs'!$J$3:$J$5</c:f>
              <c:strCache>
                <c:ptCount val="1"/>
                <c:pt idx="0">
                  <c:v>City 20 - Sum of Homes RFS (cum)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graphs'!$J$6:$J$7</c:f>
              <c:numCache>
                <c:formatCode>General</c:formatCode>
                <c:ptCount val="1"/>
                <c:pt idx="0">
                  <c:v>10420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6A-4F40-812F-7E3E64706F4A}"/>
            </c:ext>
          </c:extLst>
        </c:ser>
        <c:ser>
          <c:idx val="9"/>
          <c:order val="9"/>
          <c:tx>
            <c:strRef>
              <c:f>'RFS graphs'!$K$3:$K$5</c:f>
              <c:strCache>
                <c:ptCount val="1"/>
                <c:pt idx="0">
                  <c:v>City 20 - Sum of Homes RFS (prev)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graphs'!$K$6:$K$7</c:f>
              <c:numCache>
                <c:formatCode>General</c:formatCode>
                <c:ptCount val="1"/>
                <c:pt idx="0">
                  <c:v>10235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46A-4F40-812F-7E3E64706F4A}"/>
            </c:ext>
          </c:extLst>
        </c:ser>
        <c:ser>
          <c:idx val="10"/>
          <c:order val="10"/>
          <c:tx>
            <c:strRef>
              <c:f>'RFS graphs'!$L$3:$L$5</c:f>
              <c:strCache>
                <c:ptCount val="1"/>
                <c:pt idx="0">
                  <c:v>City 20 - Sum of Homes RFS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graphs'!$L$6:$L$7</c:f>
              <c:numCache>
                <c:formatCode>General</c:formatCode>
                <c:ptCount val="1"/>
                <c:pt idx="0">
                  <c:v>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46A-4F40-812F-7E3E64706F4A}"/>
            </c:ext>
          </c:extLst>
        </c:ser>
        <c:ser>
          <c:idx val="11"/>
          <c:order val="11"/>
          <c:tx>
            <c:strRef>
              <c:f>'RFS graphs'!$M$3:$M$5</c:f>
              <c:strCache>
                <c:ptCount val="1"/>
                <c:pt idx="0">
                  <c:v>City 20 - Sum of MDU Passed (cum)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graphs'!$M$6:$M$7</c:f>
              <c:numCache>
                <c:formatCode>General</c:formatCode>
                <c:ptCount val="1"/>
                <c:pt idx="0">
                  <c:v>6799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46A-4F40-812F-7E3E64706F4A}"/>
            </c:ext>
          </c:extLst>
        </c:ser>
        <c:ser>
          <c:idx val="12"/>
          <c:order val="12"/>
          <c:tx>
            <c:strRef>
              <c:f>'RFS graphs'!$N$3:$N$5</c:f>
              <c:strCache>
                <c:ptCount val="1"/>
                <c:pt idx="0">
                  <c:v>City 28 - Sum of Homes RFS (cum)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graphs'!$N$6:$N$7</c:f>
              <c:numCache>
                <c:formatCode>General</c:formatCode>
                <c:ptCount val="1"/>
                <c:pt idx="0">
                  <c:v>25674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46A-4F40-812F-7E3E64706F4A}"/>
            </c:ext>
          </c:extLst>
        </c:ser>
        <c:ser>
          <c:idx val="13"/>
          <c:order val="13"/>
          <c:tx>
            <c:strRef>
              <c:f>'RFS graphs'!$O$3:$O$5</c:f>
              <c:strCache>
                <c:ptCount val="1"/>
                <c:pt idx="0">
                  <c:v>City 28 - Sum of Homes RFS (prev)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graphs'!$O$6:$O$7</c:f>
              <c:numCache>
                <c:formatCode>General</c:formatCode>
                <c:ptCount val="1"/>
                <c:pt idx="0">
                  <c:v>25519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46A-4F40-812F-7E3E64706F4A}"/>
            </c:ext>
          </c:extLst>
        </c:ser>
        <c:ser>
          <c:idx val="14"/>
          <c:order val="14"/>
          <c:tx>
            <c:strRef>
              <c:f>'RFS graphs'!$P$3:$P$5</c:f>
              <c:strCache>
                <c:ptCount val="1"/>
                <c:pt idx="0">
                  <c:v>City 28 - Sum of Homes RFS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graphs'!$P$6:$P$7</c:f>
              <c:numCache>
                <c:formatCode>General</c:formatCode>
                <c:ptCount val="1"/>
                <c:pt idx="0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46A-4F40-812F-7E3E64706F4A}"/>
            </c:ext>
          </c:extLst>
        </c:ser>
        <c:ser>
          <c:idx val="15"/>
          <c:order val="15"/>
          <c:tx>
            <c:strRef>
              <c:f>'RFS graphs'!$Q$3:$Q$5</c:f>
              <c:strCache>
                <c:ptCount val="1"/>
                <c:pt idx="0">
                  <c:v>City 28 - Sum of MDU Passed (cum)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graphs'!$Q$6:$Q$7</c:f>
              <c:numCache>
                <c:formatCode>General</c:formatCode>
                <c:ptCount val="1"/>
                <c:pt idx="0">
                  <c:v>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46A-4F40-812F-7E3E64706F4A}"/>
            </c:ext>
          </c:extLst>
        </c:ser>
        <c:ser>
          <c:idx val="16"/>
          <c:order val="16"/>
          <c:tx>
            <c:strRef>
              <c:f>'RFS graphs'!$R$3:$R$5</c:f>
              <c:strCache>
                <c:ptCount val="1"/>
                <c:pt idx="0">
                  <c:v>City 31 - Sum of Homes RFS (cum)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graphs'!$R$6:$R$7</c:f>
              <c:numCache>
                <c:formatCode>General</c:formatCode>
                <c:ptCount val="1"/>
                <c:pt idx="0">
                  <c:v>10424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46A-4F40-812F-7E3E64706F4A}"/>
            </c:ext>
          </c:extLst>
        </c:ser>
        <c:ser>
          <c:idx val="17"/>
          <c:order val="17"/>
          <c:tx>
            <c:strRef>
              <c:f>'RFS graphs'!$S$3:$S$5</c:f>
              <c:strCache>
                <c:ptCount val="1"/>
                <c:pt idx="0">
                  <c:v>City 31 - Sum of Homes RFS (prev)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graphs'!$S$6:$S$7</c:f>
              <c:numCache>
                <c:formatCode>General</c:formatCode>
                <c:ptCount val="1"/>
                <c:pt idx="0">
                  <c:v>10424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46A-4F40-812F-7E3E64706F4A}"/>
            </c:ext>
          </c:extLst>
        </c:ser>
        <c:ser>
          <c:idx val="18"/>
          <c:order val="18"/>
          <c:tx>
            <c:strRef>
              <c:f>'RFS graphs'!$T$3:$T$5</c:f>
              <c:strCache>
                <c:ptCount val="1"/>
                <c:pt idx="0">
                  <c:v>City 31 - Sum of Homes RFS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graphs'!$T$6:$T$7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46A-4F40-812F-7E3E64706F4A}"/>
            </c:ext>
          </c:extLst>
        </c:ser>
        <c:ser>
          <c:idx val="19"/>
          <c:order val="19"/>
          <c:tx>
            <c:strRef>
              <c:f>'RFS graphs'!$U$3:$U$5</c:f>
              <c:strCache>
                <c:ptCount val="1"/>
                <c:pt idx="0">
                  <c:v>City 31 - Sum of MDU Passed (cum)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graphs'!$U$6:$U$7</c:f>
              <c:numCache>
                <c:formatCode>General</c:formatCode>
                <c:ptCount val="1"/>
                <c:pt idx="0">
                  <c:v>2261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46A-4F40-812F-7E3E64706F4A}"/>
            </c:ext>
          </c:extLst>
        </c:ser>
        <c:ser>
          <c:idx val="20"/>
          <c:order val="20"/>
          <c:tx>
            <c:strRef>
              <c:f>'RFS graphs'!$V$3:$V$5</c:f>
              <c:strCache>
                <c:ptCount val="1"/>
                <c:pt idx="0">
                  <c:v>City 38 - Sum of Homes RFS (cum)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graphs'!$V$6:$V$7</c:f>
              <c:numCache>
                <c:formatCode>General</c:formatCode>
                <c:ptCount val="1"/>
                <c:pt idx="0">
                  <c:v>3233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46A-4F40-812F-7E3E64706F4A}"/>
            </c:ext>
          </c:extLst>
        </c:ser>
        <c:ser>
          <c:idx val="21"/>
          <c:order val="21"/>
          <c:tx>
            <c:strRef>
              <c:f>'RFS graphs'!$W$3:$W$5</c:f>
              <c:strCache>
                <c:ptCount val="1"/>
                <c:pt idx="0">
                  <c:v>City 38 - Sum of Homes RFS (prev)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graphs'!$W$6:$W$7</c:f>
              <c:numCache>
                <c:formatCode>General</c:formatCode>
                <c:ptCount val="1"/>
                <c:pt idx="0">
                  <c:v>3028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46A-4F40-812F-7E3E64706F4A}"/>
            </c:ext>
          </c:extLst>
        </c:ser>
        <c:ser>
          <c:idx val="22"/>
          <c:order val="22"/>
          <c:tx>
            <c:strRef>
              <c:f>'RFS graphs'!$X$3:$X$5</c:f>
              <c:strCache>
                <c:ptCount val="1"/>
                <c:pt idx="0">
                  <c:v>City 38 - Sum of Homes RFS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graphs'!$X$6:$X$7</c:f>
              <c:numCache>
                <c:formatCode>General</c:formatCode>
                <c:ptCount val="1"/>
                <c:pt idx="0">
                  <c:v>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46A-4F40-812F-7E3E64706F4A}"/>
            </c:ext>
          </c:extLst>
        </c:ser>
        <c:ser>
          <c:idx val="23"/>
          <c:order val="23"/>
          <c:tx>
            <c:strRef>
              <c:f>'RFS graphs'!$Y$3:$Y$5</c:f>
              <c:strCache>
                <c:ptCount val="1"/>
                <c:pt idx="0">
                  <c:v>City 38 - Sum of MDU Passed (cum)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graphs'!$Y$6:$Y$7</c:f>
              <c:numCache>
                <c:formatCode>General</c:formatCode>
                <c:ptCount val="1"/>
                <c:pt idx="0">
                  <c:v>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46A-4F40-812F-7E3E64706F4A}"/>
            </c:ext>
          </c:extLst>
        </c:ser>
        <c:ser>
          <c:idx val="24"/>
          <c:order val="24"/>
          <c:tx>
            <c:strRef>
              <c:f>'RFS graphs'!$Z$3:$Z$5</c:f>
              <c:strCache>
                <c:ptCount val="1"/>
                <c:pt idx="0">
                  <c:v>City 42 - Sum of Homes RFS (cum)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graphs'!$Z$6:$Z$7</c:f>
              <c:numCache>
                <c:formatCode>General</c:formatCode>
                <c:ptCount val="1"/>
                <c:pt idx="0">
                  <c:v>6293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46A-4F40-812F-7E3E64706F4A}"/>
            </c:ext>
          </c:extLst>
        </c:ser>
        <c:ser>
          <c:idx val="25"/>
          <c:order val="25"/>
          <c:tx>
            <c:strRef>
              <c:f>'RFS graphs'!$AA$3:$AA$5</c:f>
              <c:strCache>
                <c:ptCount val="1"/>
                <c:pt idx="0">
                  <c:v>City 42 - Sum of Homes RFS (prev)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graphs'!$AA$6:$AA$7</c:f>
              <c:numCache>
                <c:formatCode>General</c:formatCode>
                <c:ptCount val="1"/>
                <c:pt idx="0">
                  <c:v>6283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46A-4F40-812F-7E3E64706F4A}"/>
            </c:ext>
          </c:extLst>
        </c:ser>
        <c:ser>
          <c:idx val="26"/>
          <c:order val="26"/>
          <c:tx>
            <c:strRef>
              <c:f>'RFS graphs'!$AB$3:$AB$5</c:f>
              <c:strCache>
                <c:ptCount val="1"/>
                <c:pt idx="0">
                  <c:v>City 42 - Sum of Homes RFS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graphs'!$AB$6:$AB$7</c:f>
              <c:numCache>
                <c:formatCode>General</c:formatCode>
                <c:ptCount val="1"/>
                <c:pt idx="0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46A-4F40-812F-7E3E64706F4A}"/>
            </c:ext>
          </c:extLst>
        </c:ser>
        <c:ser>
          <c:idx val="27"/>
          <c:order val="27"/>
          <c:tx>
            <c:strRef>
              <c:f>'RFS graphs'!$AC$3:$AC$5</c:f>
              <c:strCache>
                <c:ptCount val="1"/>
                <c:pt idx="0">
                  <c:v>City 42 - Sum of MDU Passed (cum)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graphs'!$AC$6:$AC$7</c:f>
              <c:numCache>
                <c:formatCode>General</c:formatCode>
                <c:ptCount val="1"/>
                <c:pt idx="0">
                  <c:v>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46A-4F40-812F-7E3E64706F4A}"/>
            </c:ext>
          </c:extLst>
        </c:ser>
        <c:ser>
          <c:idx val="28"/>
          <c:order val="28"/>
          <c:tx>
            <c:strRef>
              <c:f>'RFS graphs'!$AD$3:$AD$5</c:f>
              <c:strCache>
                <c:ptCount val="1"/>
                <c:pt idx="0">
                  <c:v>City 43 - Sum of Homes RFS (cum)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graphs'!$AD$6:$AD$7</c:f>
              <c:numCache>
                <c:formatCode>General</c:formatCode>
                <c:ptCount val="1"/>
                <c:pt idx="0">
                  <c:v>30678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46A-4F40-812F-7E3E64706F4A}"/>
            </c:ext>
          </c:extLst>
        </c:ser>
        <c:ser>
          <c:idx val="29"/>
          <c:order val="29"/>
          <c:tx>
            <c:strRef>
              <c:f>'RFS graphs'!$AE$3:$AE$5</c:f>
              <c:strCache>
                <c:ptCount val="1"/>
                <c:pt idx="0">
                  <c:v>City 43 - Sum of Homes RFS (prev)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graphs'!$AE$6:$AE$7</c:f>
              <c:numCache>
                <c:formatCode>General</c:formatCode>
                <c:ptCount val="1"/>
                <c:pt idx="0">
                  <c:v>30691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46A-4F40-812F-7E3E64706F4A}"/>
            </c:ext>
          </c:extLst>
        </c:ser>
        <c:ser>
          <c:idx val="30"/>
          <c:order val="30"/>
          <c:tx>
            <c:strRef>
              <c:f>'RFS graphs'!$AF$3:$AF$5</c:f>
              <c:strCache>
                <c:ptCount val="1"/>
                <c:pt idx="0">
                  <c:v>City 43 - Sum of Homes RFS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graphs'!$AF$6:$AF$7</c:f>
              <c:numCache>
                <c:formatCode>General</c:formatCode>
                <c:ptCount val="1"/>
                <c:pt idx="0">
                  <c:v>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46A-4F40-812F-7E3E64706F4A}"/>
            </c:ext>
          </c:extLst>
        </c:ser>
        <c:ser>
          <c:idx val="31"/>
          <c:order val="31"/>
          <c:tx>
            <c:strRef>
              <c:f>'RFS graphs'!$AG$3:$AG$5</c:f>
              <c:strCache>
                <c:ptCount val="1"/>
                <c:pt idx="0">
                  <c:v>City 43 - Sum of MDU Passed (cum)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graphs'!$AG$6:$AG$7</c:f>
              <c:numCache>
                <c:formatCode>General</c:formatCode>
                <c:ptCount val="1"/>
                <c:pt idx="0">
                  <c:v>9113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46A-4F40-812F-7E3E64706F4A}"/>
            </c:ext>
          </c:extLst>
        </c:ser>
        <c:ser>
          <c:idx val="32"/>
          <c:order val="32"/>
          <c:tx>
            <c:strRef>
              <c:f>'RFS graphs'!$AH$3:$AH$5</c:f>
              <c:strCache>
                <c:ptCount val="1"/>
                <c:pt idx="0">
                  <c:v>City 5 - Sum of Homes RFS (cum)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graphs'!$AH$6:$AH$7</c:f>
              <c:numCache>
                <c:formatCode>General</c:formatCode>
                <c:ptCount val="1"/>
                <c:pt idx="0">
                  <c:v>56068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46A-4F40-812F-7E3E64706F4A}"/>
            </c:ext>
          </c:extLst>
        </c:ser>
        <c:ser>
          <c:idx val="33"/>
          <c:order val="33"/>
          <c:tx>
            <c:strRef>
              <c:f>'RFS graphs'!$AI$3:$AI$5</c:f>
              <c:strCache>
                <c:ptCount val="1"/>
                <c:pt idx="0">
                  <c:v>City 5 - Sum of Homes RFS (prev)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graphs'!$AI$6:$AI$7</c:f>
              <c:numCache>
                <c:formatCode>General</c:formatCode>
                <c:ptCount val="1"/>
                <c:pt idx="0">
                  <c:v>56025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46A-4F40-812F-7E3E64706F4A}"/>
            </c:ext>
          </c:extLst>
        </c:ser>
        <c:ser>
          <c:idx val="34"/>
          <c:order val="34"/>
          <c:tx>
            <c:strRef>
              <c:f>'RFS graphs'!$AJ$3:$AJ$5</c:f>
              <c:strCache>
                <c:ptCount val="1"/>
                <c:pt idx="0">
                  <c:v>City 5 - Sum of Homes RFS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graphs'!$AJ$6:$AJ$7</c:f>
              <c:numCache>
                <c:formatCode>General</c:formatCode>
                <c:ptCount val="1"/>
                <c:pt idx="0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46A-4F40-812F-7E3E64706F4A}"/>
            </c:ext>
          </c:extLst>
        </c:ser>
        <c:ser>
          <c:idx val="35"/>
          <c:order val="35"/>
          <c:tx>
            <c:strRef>
              <c:f>'RFS graphs'!$AK$3:$AK$5</c:f>
              <c:strCache>
                <c:ptCount val="1"/>
                <c:pt idx="0">
                  <c:v>City 5 - Sum of MDU Passed (cum)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graphs'!$AK$6:$AK$7</c:f>
              <c:numCache>
                <c:formatCode>General</c:formatCode>
                <c:ptCount val="1"/>
                <c:pt idx="0">
                  <c:v>19789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46A-4F40-812F-7E3E64706F4A}"/>
            </c:ext>
          </c:extLst>
        </c:ser>
        <c:ser>
          <c:idx val="36"/>
          <c:order val="36"/>
          <c:tx>
            <c:strRef>
              <c:f>'RFS graphs'!$AL$3:$AL$5</c:f>
              <c:strCache>
                <c:ptCount val="1"/>
                <c:pt idx="0">
                  <c:v>City 51 - Sum of Homes RFS (cum)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graphs'!$AL$6:$AL$7</c:f>
              <c:numCache>
                <c:formatCode>General</c:formatCode>
                <c:ptCount val="1"/>
                <c:pt idx="0">
                  <c:v>40389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AD-4168-8FAB-0A2210DF8787}"/>
            </c:ext>
          </c:extLst>
        </c:ser>
        <c:ser>
          <c:idx val="37"/>
          <c:order val="37"/>
          <c:tx>
            <c:strRef>
              <c:f>'RFS graphs'!$AM$3:$AM$5</c:f>
              <c:strCache>
                <c:ptCount val="1"/>
                <c:pt idx="0">
                  <c:v>City 51 - Sum of Homes RFS (prev)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graphs'!$AM$6:$AM$7</c:f>
              <c:numCache>
                <c:formatCode>General</c:formatCode>
                <c:ptCount val="1"/>
                <c:pt idx="0">
                  <c:v>40225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AD-4168-8FAB-0A2210DF8787}"/>
            </c:ext>
          </c:extLst>
        </c:ser>
        <c:ser>
          <c:idx val="38"/>
          <c:order val="38"/>
          <c:tx>
            <c:strRef>
              <c:f>'RFS graphs'!$AN$3:$AN$5</c:f>
              <c:strCache>
                <c:ptCount val="1"/>
                <c:pt idx="0">
                  <c:v>City 51 - Sum of Homes RFS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graphs'!$AN$6:$AN$7</c:f>
              <c:numCache>
                <c:formatCode>General</c:formatCode>
                <c:ptCount val="1"/>
                <c:pt idx="0">
                  <c:v>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AD-4168-8FAB-0A2210DF8787}"/>
            </c:ext>
          </c:extLst>
        </c:ser>
        <c:ser>
          <c:idx val="39"/>
          <c:order val="39"/>
          <c:tx>
            <c:strRef>
              <c:f>'RFS graphs'!$AO$3:$AO$5</c:f>
              <c:strCache>
                <c:ptCount val="1"/>
                <c:pt idx="0">
                  <c:v>City 51 - Sum of MDU Passed (cum)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graphs'!$AO$6:$AO$7</c:f>
              <c:numCache>
                <c:formatCode>General</c:formatCode>
                <c:ptCount val="1"/>
                <c:pt idx="0">
                  <c:v>10166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AD-4168-8FAB-0A2210DF8787}"/>
            </c:ext>
          </c:extLst>
        </c:ser>
        <c:ser>
          <c:idx val="40"/>
          <c:order val="40"/>
          <c:tx>
            <c:strRef>
              <c:f>'RFS graphs'!$AP$3:$AP$5</c:f>
              <c:strCache>
                <c:ptCount val="1"/>
                <c:pt idx="0">
                  <c:v>City 58 - Sum of Homes RFS (cum)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graphs'!$AP$6:$AP$7</c:f>
              <c:numCache>
                <c:formatCode>General</c:formatCode>
                <c:ptCount val="1"/>
                <c:pt idx="0">
                  <c:v>21408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AD-4168-8FAB-0A2210DF8787}"/>
            </c:ext>
          </c:extLst>
        </c:ser>
        <c:ser>
          <c:idx val="41"/>
          <c:order val="41"/>
          <c:tx>
            <c:strRef>
              <c:f>'RFS graphs'!$AQ$3:$AQ$5</c:f>
              <c:strCache>
                <c:ptCount val="1"/>
                <c:pt idx="0">
                  <c:v>City 58 - Sum of Homes RFS (prev)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graphs'!$AQ$6:$AQ$7</c:f>
              <c:numCache>
                <c:formatCode>General</c:formatCode>
                <c:ptCount val="1"/>
                <c:pt idx="0">
                  <c:v>21407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AD-4168-8FAB-0A2210DF8787}"/>
            </c:ext>
          </c:extLst>
        </c:ser>
        <c:ser>
          <c:idx val="42"/>
          <c:order val="42"/>
          <c:tx>
            <c:strRef>
              <c:f>'RFS graphs'!$AR$3:$AR$5</c:f>
              <c:strCache>
                <c:ptCount val="1"/>
                <c:pt idx="0">
                  <c:v>City 58 - Sum of Homes RFS</c:v>
                </c:pt>
              </c:strCache>
            </c:strRef>
          </c:tx>
          <c:spPr>
            <a:solidFill>
              <a:schemeClr val="accent1">
                <a:lumMod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graphs'!$AR$6:$AR$7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AD-4168-8FAB-0A2210DF8787}"/>
            </c:ext>
          </c:extLst>
        </c:ser>
        <c:ser>
          <c:idx val="43"/>
          <c:order val="43"/>
          <c:tx>
            <c:strRef>
              <c:f>'RFS graphs'!$AS$3:$AS$5</c:f>
              <c:strCache>
                <c:ptCount val="1"/>
                <c:pt idx="0">
                  <c:v>City 58 - Sum of MDU Passed (cum)</c:v>
                </c:pt>
              </c:strCache>
            </c:strRef>
          </c:tx>
          <c:spPr>
            <a:solidFill>
              <a:schemeClr val="accent2">
                <a:lumMod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graphs'!$AS$6:$AS$7</c:f>
              <c:numCache>
                <c:formatCode>General</c:formatCode>
                <c:ptCount val="1"/>
                <c:pt idx="0">
                  <c:v>5986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AD-4168-8FAB-0A2210DF8787}"/>
            </c:ext>
          </c:extLst>
        </c:ser>
        <c:ser>
          <c:idx val="44"/>
          <c:order val="44"/>
          <c:tx>
            <c:strRef>
              <c:f>'RFS graphs'!$AT$3:$AT$5</c:f>
              <c:strCache>
                <c:ptCount val="1"/>
                <c:pt idx="0">
                  <c:v>City 8 - Sum of Homes RFS (cum)</c:v>
                </c:pt>
              </c:strCache>
            </c:strRef>
          </c:tx>
          <c:spPr>
            <a:solidFill>
              <a:schemeClr val="accent3">
                <a:lumMod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graphs'!$AT$6:$AT$7</c:f>
              <c:numCache>
                <c:formatCode>General</c:formatCode>
                <c:ptCount val="1"/>
                <c:pt idx="0">
                  <c:v>4446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AD-4168-8FAB-0A2210DF8787}"/>
            </c:ext>
          </c:extLst>
        </c:ser>
        <c:ser>
          <c:idx val="45"/>
          <c:order val="45"/>
          <c:tx>
            <c:strRef>
              <c:f>'RFS graphs'!$AU$3:$AU$5</c:f>
              <c:strCache>
                <c:ptCount val="1"/>
                <c:pt idx="0">
                  <c:v>City 8 - Sum of Homes RFS (prev)</c:v>
                </c:pt>
              </c:strCache>
            </c:strRef>
          </c:tx>
          <c:spPr>
            <a:solidFill>
              <a:schemeClr val="accent4">
                <a:lumMod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graphs'!$AU$6:$AU$7</c:f>
              <c:numCache>
                <c:formatCode>General</c:formatCode>
                <c:ptCount val="1"/>
                <c:pt idx="0">
                  <c:v>4446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AD-4168-8FAB-0A2210DF8787}"/>
            </c:ext>
          </c:extLst>
        </c:ser>
        <c:ser>
          <c:idx val="46"/>
          <c:order val="46"/>
          <c:tx>
            <c:strRef>
              <c:f>'RFS graphs'!$AV$3:$AV$5</c:f>
              <c:strCache>
                <c:ptCount val="1"/>
                <c:pt idx="0">
                  <c:v>City 8 - Sum of Homes RFS</c:v>
                </c:pt>
              </c:strCache>
            </c:strRef>
          </c:tx>
          <c:spPr>
            <a:solidFill>
              <a:schemeClr val="accent5">
                <a:lumMod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graphs'!$AV$6:$AV$7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AD-4168-8FAB-0A2210DF8787}"/>
            </c:ext>
          </c:extLst>
        </c:ser>
        <c:ser>
          <c:idx val="47"/>
          <c:order val="47"/>
          <c:tx>
            <c:strRef>
              <c:f>'RFS graphs'!$AW$3:$AW$5</c:f>
              <c:strCache>
                <c:ptCount val="1"/>
                <c:pt idx="0">
                  <c:v>City 8 - Sum of MDU Passed (cum)</c:v>
                </c:pt>
              </c:strCache>
            </c:strRef>
          </c:tx>
          <c:spPr>
            <a:solidFill>
              <a:schemeClr val="accent6">
                <a:lumMod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graphs'!$AW$6:$AW$7</c:f>
              <c:numCache>
                <c:formatCode>General</c:formatCode>
                <c:ptCount val="1"/>
                <c:pt idx="0">
                  <c:v>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AD-4168-8FAB-0A2210DF8787}"/>
            </c:ext>
          </c:extLst>
        </c:ser>
        <c:ser>
          <c:idx val="48"/>
          <c:order val="48"/>
          <c:tx>
            <c:strRef>
              <c:f>'RFS graphs'!$AX$3:$AX$5</c:f>
              <c:strCache>
                <c:ptCount val="1"/>
                <c:pt idx="0">
                  <c:v>City 9 - Sum of Homes RFS (cum)</c:v>
                </c:pt>
              </c:strCache>
            </c:strRef>
          </c:tx>
          <c:spPr>
            <a:solidFill>
              <a:schemeClr val="accent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graphs'!$AX$6:$AX$7</c:f>
              <c:numCache>
                <c:formatCode>General</c:formatCode>
                <c:ptCount val="1"/>
                <c:pt idx="0">
                  <c:v>5922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AD-4168-8FAB-0A2210DF8787}"/>
            </c:ext>
          </c:extLst>
        </c:ser>
        <c:ser>
          <c:idx val="49"/>
          <c:order val="49"/>
          <c:tx>
            <c:strRef>
              <c:f>'RFS graphs'!$AY$3:$AY$5</c:f>
              <c:strCache>
                <c:ptCount val="1"/>
                <c:pt idx="0">
                  <c:v>City 9 - Sum of Homes RFS (prev)</c:v>
                </c:pt>
              </c:strCache>
            </c:strRef>
          </c:tx>
          <c:spPr>
            <a:solidFill>
              <a:schemeClr val="accent2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graphs'!$AY$6:$AY$7</c:f>
              <c:numCache>
                <c:formatCode>General</c:formatCode>
                <c:ptCount val="1"/>
                <c:pt idx="0">
                  <c:v>5922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AD-4168-8FAB-0A2210DF8787}"/>
            </c:ext>
          </c:extLst>
        </c:ser>
        <c:ser>
          <c:idx val="50"/>
          <c:order val="50"/>
          <c:tx>
            <c:strRef>
              <c:f>'RFS graphs'!$AZ$3:$AZ$5</c:f>
              <c:strCache>
                <c:ptCount val="1"/>
                <c:pt idx="0">
                  <c:v>City 9 - Sum of Homes RFS</c:v>
                </c:pt>
              </c:strCache>
            </c:strRef>
          </c:tx>
          <c:spPr>
            <a:solidFill>
              <a:schemeClr val="accent3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graphs'!$AZ$6:$AZ$7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AD-4168-8FAB-0A2210DF8787}"/>
            </c:ext>
          </c:extLst>
        </c:ser>
        <c:ser>
          <c:idx val="51"/>
          <c:order val="51"/>
          <c:tx>
            <c:strRef>
              <c:f>'RFS graphs'!$BA$3:$BA$5</c:f>
              <c:strCache>
                <c:ptCount val="1"/>
                <c:pt idx="0">
                  <c:v>City 9 - Sum of MDU Passed (cum)</c:v>
                </c:pt>
              </c:strCache>
            </c:strRef>
          </c:tx>
          <c:spPr>
            <a:solidFill>
              <a:schemeClr val="accent4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'RFS graphs'!$A$6:$A$7</c:f>
              <c:strCache>
                <c:ptCount val="1"/>
                <c:pt idx="0">
                  <c:v>South East</c:v>
                </c:pt>
              </c:strCache>
            </c:strRef>
          </c:cat>
          <c:val>
            <c:numRef>
              <c:f>'RFS graphs'!$BA$6:$BA$7</c:f>
              <c:numCache>
                <c:formatCode>General</c:formatCode>
                <c:ptCount val="1"/>
                <c:pt idx="0">
                  <c:v>1027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AD-4168-8FAB-0A2210DF878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axId val="2006646143"/>
        <c:axId val="1938025151"/>
      </c:barChart>
      <c:catAx>
        <c:axId val="200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8025151"/>
        <c:crosses val="autoZero"/>
        <c:auto val="1"/>
        <c:lblAlgn val="ctr"/>
        <c:lblOffset val="100"/>
        <c:noMultiLvlLbl val="0"/>
      </c:catAx>
      <c:valAx>
        <c:axId val="1938025151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06646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[PMO Graduate Analyst Test.xlsm]Passes graphs!PivotTable6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5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dot"/>
          <c:size val="6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dash"/>
          <c:size val="6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triangle"/>
          <c:size val="6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dot"/>
          <c:size val="6"/>
          <c:spPr>
            <a:solidFill>
              <a:schemeClr val="accent5">
                <a:lumMod val="80000"/>
                <a:lumOff val="20000"/>
              </a:schemeClr>
            </a:solidFill>
            <a:ln w="9525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2">
                <a:lumMod val="80000"/>
              </a:schemeClr>
            </a:solidFill>
            <a:ln w="9525">
              <a:solidFill>
                <a:schemeClr val="accent2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triangle"/>
          <c:size val="6"/>
          <c:spPr>
            <a:solidFill>
              <a:schemeClr val="accent3">
                <a:lumMod val="80000"/>
              </a:schemeClr>
            </a:solidFill>
            <a:ln w="9525">
              <a:solidFill>
                <a:schemeClr val="accent3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accent6">
                <a:lumMod val="80000"/>
              </a:schemeClr>
            </a:solidFill>
            <a:ln w="9525">
              <a:solidFill>
                <a:schemeClr val="accent6">
                  <a:lumMod val="8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plus"/>
          <c:size val="6"/>
          <c:spPr>
            <a:noFill/>
            <a:ln w="9525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4">
                <a:lumMod val="60000"/>
                <a:lumOff val="40000"/>
              </a:schemeClr>
            </a:solidFill>
            <a:ln w="9525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square"/>
          <c:size val="6"/>
          <c:spPr>
            <a:solidFill>
              <a:schemeClr val="accent5">
                <a:lumMod val="60000"/>
                <a:lumOff val="40000"/>
              </a:schemeClr>
            </a:solidFill>
            <a:ln w="9525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star"/>
          <c:size val="6"/>
          <c:spPr>
            <a:noFill/>
            <a:ln w="9525">
              <a:solidFill>
                <a:schemeClr val="accent2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6"/>
          <c:spPr>
            <a:solidFill>
              <a:schemeClr val="accent3">
                <a:lumMod val="50000"/>
              </a:schemeClr>
            </a:solidFill>
            <a:ln w="9525">
              <a:solidFill>
                <a:schemeClr val="accent3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dash"/>
          <c:size val="6"/>
          <c:spPr>
            <a:solidFill>
              <a:schemeClr val="accent6">
                <a:lumMod val="50000"/>
              </a:schemeClr>
            </a:solidFill>
            <a:ln w="9525">
              <a:solidFill>
                <a:schemeClr val="accent6">
                  <a:lumMod val="5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diamond"/>
          <c:size val="6"/>
          <c:spPr>
            <a:solidFill>
              <a:schemeClr val="accent1">
                <a:lumMod val="70000"/>
                <a:lumOff val="30000"/>
              </a:schemeClr>
            </a:solidFill>
            <a:ln w="9525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x"/>
          <c:size val="6"/>
          <c:spPr>
            <a:noFill/>
            <a:ln w="9525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  <a:round/>
            </a:ln>
            <a:effectLst/>
          </c:spPr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'Passes graphs'!$B$3:$B$5</c:f>
              <c:strCache>
                <c:ptCount val="1"/>
                <c:pt idx="0">
                  <c:v>City 12 - Sum of Homes Passed (cum)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graphs'!$B$6:$B$7</c:f>
              <c:numCache>
                <c:formatCode>General</c:formatCode>
                <c:ptCount val="1"/>
                <c:pt idx="0">
                  <c:v>4271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F-42B5-BAB5-61E4E4FD1A84}"/>
            </c:ext>
          </c:extLst>
        </c:ser>
        <c:ser>
          <c:idx val="1"/>
          <c:order val="1"/>
          <c:tx>
            <c:strRef>
              <c:f>'Passes graphs'!$C$3:$C$5</c:f>
              <c:strCache>
                <c:ptCount val="1"/>
                <c:pt idx="0">
                  <c:v>City 12 - Sum of MDU Passed (cum)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graphs'!$C$6:$C$7</c:f>
              <c:numCache>
                <c:formatCode>General</c:formatCode>
                <c:ptCount val="1"/>
                <c:pt idx="0">
                  <c:v>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F-42B5-BAB5-61E4E4FD1A84}"/>
            </c:ext>
          </c:extLst>
        </c:ser>
        <c:ser>
          <c:idx val="2"/>
          <c:order val="2"/>
          <c:tx>
            <c:strRef>
              <c:f>'Passes graphs'!$D$3:$D$5</c:f>
              <c:strCache>
                <c:ptCount val="1"/>
                <c:pt idx="0">
                  <c:v>City 12 - Sum of Homes Passed (prev)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graphs'!$D$6:$D$7</c:f>
              <c:numCache>
                <c:formatCode>General</c:formatCode>
                <c:ptCount val="1"/>
                <c:pt idx="0">
                  <c:v>4271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F-42B5-BAB5-61E4E4FD1A84}"/>
            </c:ext>
          </c:extLst>
        </c:ser>
        <c:ser>
          <c:idx val="3"/>
          <c:order val="3"/>
          <c:tx>
            <c:strRef>
              <c:f>'Passes graphs'!$E$3:$E$5</c:f>
              <c:strCache>
                <c:ptCount val="1"/>
                <c:pt idx="0">
                  <c:v>City 12 - Sum of Homes Passed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graphs'!$E$6:$E$7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F-42B5-BAB5-61E4E4FD1A84}"/>
            </c:ext>
          </c:extLst>
        </c:ser>
        <c:ser>
          <c:idx val="4"/>
          <c:order val="4"/>
          <c:tx>
            <c:strRef>
              <c:f>'Passes graphs'!$F$3:$F$5</c:f>
              <c:strCache>
                <c:ptCount val="1"/>
                <c:pt idx="0">
                  <c:v>City 24 - Sum of Homes Passed (cum)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graphs'!$F$6:$F$7</c:f>
              <c:numCache>
                <c:formatCode>General</c:formatCode>
                <c:ptCount val="1"/>
                <c:pt idx="0">
                  <c:v>13176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F-42B5-BAB5-61E4E4FD1A84}"/>
            </c:ext>
          </c:extLst>
        </c:ser>
        <c:ser>
          <c:idx val="5"/>
          <c:order val="5"/>
          <c:tx>
            <c:strRef>
              <c:f>'Passes graphs'!$G$3:$G$5</c:f>
              <c:strCache>
                <c:ptCount val="1"/>
                <c:pt idx="0">
                  <c:v>City 24 - Sum of MDU Passed (cum)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graphs'!$G$6:$G$7</c:f>
              <c:numCache>
                <c:formatCode>General</c:formatCode>
                <c:ptCount val="1"/>
                <c:pt idx="0">
                  <c:v>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F-42B5-BAB5-61E4E4FD1A84}"/>
            </c:ext>
          </c:extLst>
        </c:ser>
        <c:ser>
          <c:idx val="6"/>
          <c:order val="6"/>
          <c:tx>
            <c:strRef>
              <c:f>'Passes graphs'!$H$3:$H$5</c:f>
              <c:strCache>
                <c:ptCount val="1"/>
                <c:pt idx="0">
                  <c:v>City 24 - Sum of Homes Passed (prev)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graphs'!$H$6:$H$7</c:f>
              <c:numCache>
                <c:formatCode>General</c:formatCode>
                <c:ptCount val="1"/>
                <c:pt idx="0">
                  <c:v>13161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F-42B5-BAB5-61E4E4FD1A84}"/>
            </c:ext>
          </c:extLst>
        </c:ser>
        <c:ser>
          <c:idx val="7"/>
          <c:order val="7"/>
          <c:tx>
            <c:strRef>
              <c:f>'Passes graphs'!$I$3:$I$5</c:f>
              <c:strCache>
                <c:ptCount val="1"/>
                <c:pt idx="0">
                  <c:v>City 24 - Sum of Homes Passed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graphs'!$I$6:$I$7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F-42B5-BAB5-61E4E4FD1A84}"/>
            </c:ext>
          </c:extLst>
        </c:ser>
        <c:ser>
          <c:idx val="8"/>
          <c:order val="8"/>
          <c:tx>
            <c:strRef>
              <c:f>'Passes graphs'!$J$3:$J$5</c:f>
              <c:strCache>
                <c:ptCount val="1"/>
                <c:pt idx="0">
                  <c:v>City 32 - Sum of Homes Passed (cum)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graphs'!$J$6:$J$7</c:f>
              <c:numCache>
                <c:formatCode>General</c:formatCode>
                <c:ptCount val="1"/>
                <c:pt idx="0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F-42B5-BAB5-61E4E4FD1A84}"/>
            </c:ext>
          </c:extLst>
        </c:ser>
        <c:ser>
          <c:idx val="9"/>
          <c:order val="9"/>
          <c:tx>
            <c:strRef>
              <c:f>'Passes graphs'!$K$3:$K$5</c:f>
              <c:strCache>
                <c:ptCount val="1"/>
                <c:pt idx="0">
                  <c:v>City 32 - Sum of MDU Passed (cum)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graphs'!$K$6:$K$7</c:f>
              <c:numCache>
                <c:formatCode>General</c:formatCode>
                <c:ptCount val="1"/>
                <c:pt idx="0">
                  <c:v>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F-42B5-BAB5-61E4E4FD1A84}"/>
            </c:ext>
          </c:extLst>
        </c:ser>
        <c:ser>
          <c:idx val="10"/>
          <c:order val="10"/>
          <c:tx>
            <c:strRef>
              <c:f>'Passes graphs'!$L$3:$L$5</c:f>
              <c:strCache>
                <c:ptCount val="1"/>
                <c:pt idx="0">
                  <c:v>City 32 - Sum of Homes Passed (prev)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graphs'!$L$6:$L$7</c:f>
              <c:numCache>
                <c:formatCode>General</c:formatCode>
                <c:ptCount val="1"/>
                <c:pt idx="0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F-42B5-BAB5-61E4E4FD1A84}"/>
            </c:ext>
          </c:extLst>
        </c:ser>
        <c:ser>
          <c:idx val="11"/>
          <c:order val="11"/>
          <c:tx>
            <c:strRef>
              <c:f>'Passes graphs'!$M$3:$M$5</c:f>
              <c:strCache>
                <c:ptCount val="1"/>
                <c:pt idx="0">
                  <c:v>City 32 - Sum of Homes Passed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graphs'!$M$6:$M$7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F-42B5-BAB5-61E4E4FD1A84}"/>
            </c:ext>
          </c:extLst>
        </c:ser>
        <c:ser>
          <c:idx val="12"/>
          <c:order val="12"/>
          <c:tx>
            <c:strRef>
              <c:f>'Passes graphs'!$N$3:$N$5</c:f>
              <c:strCache>
                <c:ptCount val="1"/>
                <c:pt idx="0">
                  <c:v>City 41 - Sum of Homes Passed (cum)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graphs'!$N$6:$N$7</c:f>
              <c:numCache>
                <c:formatCode>General</c:formatCode>
                <c:ptCount val="1"/>
                <c:pt idx="0">
                  <c:v>5252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F-42B5-BAB5-61E4E4FD1A84}"/>
            </c:ext>
          </c:extLst>
        </c:ser>
        <c:ser>
          <c:idx val="13"/>
          <c:order val="13"/>
          <c:tx>
            <c:strRef>
              <c:f>'Passes graphs'!$O$3:$O$5</c:f>
              <c:strCache>
                <c:ptCount val="1"/>
                <c:pt idx="0">
                  <c:v>City 41 - Sum of MDU Passed (cum)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graphs'!$O$6:$O$7</c:f>
              <c:numCache>
                <c:formatCode>General</c:formatCode>
                <c:ptCount val="1"/>
                <c:pt idx="0">
                  <c:v>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F-42B5-BAB5-61E4E4FD1A84}"/>
            </c:ext>
          </c:extLst>
        </c:ser>
        <c:ser>
          <c:idx val="14"/>
          <c:order val="14"/>
          <c:tx>
            <c:strRef>
              <c:f>'Passes graphs'!$P$3:$P$5</c:f>
              <c:strCache>
                <c:ptCount val="1"/>
                <c:pt idx="0">
                  <c:v>City 41 - Sum of Homes Passed (prev)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graphs'!$P$6:$P$7</c:f>
              <c:numCache>
                <c:formatCode>General</c:formatCode>
                <c:ptCount val="1"/>
                <c:pt idx="0">
                  <c:v>5252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F-42B5-BAB5-61E4E4FD1A84}"/>
            </c:ext>
          </c:extLst>
        </c:ser>
        <c:ser>
          <c:idx val="15"/>
          <c:order val="15"/>
          <c:tx>
            <c:strRef>
              <c:f>'Passes graphs'!$Q$3:$Q$5</c:f>
              <c:strCache>
                <c:ptCount val="1"/>
                <c:pt idx="0">
                  <c:v>City 41 - Sum of Homes Passed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graphs'!$Q$6:$Q$7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F-42B5-BAB5-61E4E4FD1A84}"/>
            </c:ext>
          </c:extLst>
        </c:ser>
        <c:ser>
          <c:idx val="16"/>
          <c:order val="16"/>
          <c:tx>
            <c:strRef>
              <c:f>'Passes graphs'!$R$3:$R$5</c:f>
              <c:strCache>
                <c:ptCount val="1"/>
                <c:pt idx="0">
                  <c:v>City 45 - Sum of Homes Passed (cum)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graphs'!$R$6:$R$7</c:f>
              <c:numCache>
                <c:formatCode>General</c:formatCode>
                <c:ptCount val="1"/>
                <c:pt idx="0">
                  <c:v>24801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F-42B5-BAB5-61E4E4FD1A84}"/>
            </c:ext>
          </c:extLst>
        </c:ser>
        <c:ser>
          <c:idx val="17"/>
          <c:order val="17"/>
          <c:tx>
            <c:strRef>
              <c:f>'Passes graphs'!$S$3:$S$5</c:f>
              <c:strCache>
                <c:ptCount val="1"/>
                <c:pt idx="0">
                  <c:v>City 45 - Sum of MDU Passed (cum)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graphs'!$S$6:$S$7</c:f>
              <c:numCache>
                <c:formatCode>General</c:formatCode>
                <c:ptCount val="1"/>
                <c:pt idx="0">
                  <c:v>5391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F-42B5-BAB5-61E4E4FD1A84}"/>
            </c:ext>
          </c:extLst>
        </c:ser>
        <c:ser>
          <c:idx val="18"/>
          <c:order val="18"/>
          <c:tx>
            <c:strRef>
              <c:f>'Passes graphs'!$T$3:$T$5</c:f>
              <c:strCache>
                <c:ptCount val="1"/>
                <c:pt idx="0">
                  <c:v>City 45 - Sum of Homes Passed (prev)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graphs'!$T$6:$T$7</c:f>
              <c:numCache>
                <c:formatCode>General</c:formatCode>
                <c:ptCount val="1"/>
                <c:pt idx="0">
                  <c:v>24801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F-42B5-BAB5-61E4E4FD1A84}"/>
            </c:ext>
          </c:extLst>
        </c:ser>
        <c:ser>
          <c:idx val="19"/>
          <c:order val="19"/>
          <c:tx>
            <c:strRef>
              <c:f>'Passes graphs'!$U$3:$U$5</c:f>
              <c:strCache>
                <c:ptCount val="1"/>
                <c:pt idx="0">
                  <c:v>City 45 - Sum of Homes Passed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graphs'!$U$6:$U$7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F-42B5-BAB5-61E4E4FD1A84}"/>
            </c:ext>
          </c:extLst>
        </c:ser>
        <c:ser>
          <c:idx val="20"/>
          <c:order val="20"/>
          <c:tx>
            <c:strRef>
              <c:f>'Passes graphs'!$V$3:$V$5</c:f>
              <c:strCache>
                <c:ptCount val="1"/>
                <c:pt idx="0">
                  <c:v>City 49 - Sum of Homes Passed (cum)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graphs'!$V$6:$V$7</c:f>
              <c:numCache>
                <c:formatCode>General</c:formatCode>
                <c:ptCount val="1"/>
                <c:pt idx="0">
                  <c:v>24085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F-42B5-BAB5-61E4E4FD1A84}"/>
            </c:ext>
          </c:extLst>
        </c:ser>
        <c:ser>
          <c:idx val="21"/>
          <c:order val="21"/>
          <c:tx>
            <c:strRef>
              <c:f>'Passes graphs'!$W$3:$W$5</c:f>
              <c:strCache>
                <c:ptCount val="1"/>
                <c:pt idx="0">
                  <c:v>City 49 - Sum of MDU Passed (cum)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graphs'!$W$6:$W$7</c:f>
              <c:numCache>
                <c:formatCode>General</c:formatCode>
                <c:ptCount val="1"/>
                <c:pt idx="0">
                  <c:v>4490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F-42B5-BAB5-61E4E4FD1A84}"/>
            </c:ext>
          </c:extLst>
        </c:ser>
        <c:ser>
          <c:idx val="22"/>
          <c:order val="22"/>
          <c:tx>
            <c:strRef>
              <c:f>'Passes graphs'!$X$3:$X$5</c:f>
              <c:strCache>
                <c:ptCount val="1"/>
                <c:pt idx="0">
                  <c:v>City 49 - Sum of Homes Passed (prev)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graphs'!$X$6:$X$7</c:f>
              <c:numCache>
                <c:formatCode>General</c:formatCode>
                <c:ptCount val="1"/>
                <c:pt idx="0">
                  <c:v>23746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F-42B5-BAB5-61E4E4FD1A84}"/>
            </c:ext>
          </c:extLst>
        </c:ser>
        <c:ser>
          <c:idx val="23"/>
          <c:order val="23"/>
          <c:tx>
            <c:strRef>
              <c:f>'Passes graphs'!$Y$3:$Y$5</c:f>
              <c:strCache>
                <c:ptCount val="1"/>
                <c:pt idx="0">
                  <c:v>City 49 - Sum of Homes Passed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graphs'!$Y$6:$Y$7</c:f>
              <c:numCache>
                <c:formatCode>General</c:formatCode>
                <c:ptCount val="1"/>
                <c:pt idx="0">
                  <c:v>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F-42B5-BAB5-61E4E4FD1A84}"/>
            </c:ext>
          </c:extLst>
        </c:ser>
        <c:ser>
          <c:idx val="24"/>
          <c:order val="24"/>
          <c:tx>
            <c:strRef>
              <c:f>'Passes graphs'!$Z$3:$Z$5</c:f>
              <c:strCache>
                <c:ptCount val="1"/>
                <c:pt idx="0">
                  <c:v>City 54 - Sum of Homes Passed (cum)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graphs'!$Z$6:$Z$7</c:f>
              <c:numCache>
                <c:formatCode>General</c:formatCode>
                <c:ptCount val="1"/>
                <c:pt idx="0">
                  <c:v>31449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DBF-42B5-BAB5-61E4E4FD1A84}"/>
            </c:ext>
          </c:extLst>
        </c:ser>
        <c:ser>
          <c:idx val="25"/>
          <c:order val="25"/>
          <c:tx>
            <c:strRef>
              <c:f>'Passes graphs'!$AA$3:$AA$5</c:f>
              <c:strCache>
                <c:ptCount val="1"/>
                <c:pt idx="0">
                  <c:v>City 54 - Sum of MDU Passed (cum)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graphs'!$AA$6:$AA$7</c:f>
              <c:numCache>
                <c:formatCode>General</c:formatCode>
                <c:ptCount val="1"/>
                <c:pt idx="0">
                  <c:v>3044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DBF-42B5-BAB5-61E4E4FD1A84}"/>
            </c:ext>
          </c:extLst>
        </c:ser>
        <c:ser>
          <c:idx val="26"/>
          <c:order val="26"/>
          <c:tx>
            <c:strRef>
              <c:f>'Passes graphs'!$AB$3:$AB$5</c:f>
              <c:strCache>
                <c:ptCount val="1"/>
                <c:pt idx="0">
                  <c:v>City 54 - Sum of Homes Passed (prev)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graphs'!$AB$6:$AB$7</c:f>
              <c:numCache>
                <c:formatCode>General</c:formatCode>
                <c:ptCount val="1"/>
                <c:pt idx="0">
                  <c:v>31449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7C-4905-B9B0-C6BC13F59712}"/>
            </c:ext>
          </c:extLst>
        </c:ser>
        <c:ser>
          <c:idx val="27"/>
          <c:order val="27"/>
          <c:tx>
            <c:strRef>
              <c:f>'Passes graphs'!$AC$3:$AC$5</c:f>
              <c:strCache>
                <c:ptCount val="1"/>
                <c:pt idx="0">
                  <c:v>City 54 - Sum of Homes Passed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graphs'!$AC$6:$AC$7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27C-4905-B9B0-C6BC13F59712}"/>
            </c:ext>
          </c:extLst>
        </c:ser>
        <c:ser>
          <c:idx val="28"/>
          <c:order val="28"/>
          <c:tx>
            <c:strRef>
              <c:f>'Passes graphs'!$AD$3:$AD$5</c:f>
              <c:strCache>
                <c:ptCount val="1"/>
                <c:pt idx="0">
                  <c:v>City 55 - Sum of Homes Passed (cum)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graphs'!$AD$6:$AD$7</c:f>
              <c:numCache>
                <c:formatCode>General</c:formatCode>
                <c:ptCount val="1"/>
                <c:pt idx="0">
                  <c:v>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27C-4905-B9B0-C6BC13F59712}"/>
            </c:ext>
          </c:extLst>
        </c:ser>
        <c:ser>
          <c:idx val="29"/>
          <c:order val="29"/>
          <c:tx>
            <c:strRef>
              <c:f>'Passes graphs'!$AE$3:$AE$5</c:f>
              <c:strCache>
                <c:ptCount val="1"/>
                <c:pt idx="0">
                  <c:v>City 55 - Sum of MDU Passed (cum)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graphs'!$AE$6:$AE$7</c:f>
              <c:numCache>
                <c:formatCode>General</c:formatCode>
                <c:ptCount val="1"/>
                <c:pt idx="0">
                  <c:v>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27C-4905-B9B0-C6BC13F59712}"/>
            </c:ext>
          </c:extLst>
        </c:ser>
        <c:ser>
          <c:idx val="30"/>
          <c:order val="30"/>
          <c:tx>
            <c:strRef>
              <c:f>'Passes graphs'!$AF$3:$AF$5</c:f>
              <c:strCache>
                <c:ptCount val="1"/>
                <c:pt idx="0">
                  <c:v>City 55 - Sum of Homes Passed (prev)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graphs'!$AF$6:$AF$7</c:f>
              <c:numCache>
                <c:formatCode>General</c:formatCode>
                <c:ptCount val="1"/>
                <c:pt idx="0">
                  <c:v>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27C-4905-B9B0-C6BC13F59712}"/>
            </c:ext>
          </c:extLst>
        </c:ser>
        <c:ser>
          <c:idx val="31"/>
          <c:order val="31"/>
          <c:tx>
            <c:strRef>
              <c:f>'Passes graphs'!$AG$3:$AG$5</c:f>
              <c:strCache>
                <c:ptCount val="1"/>
                <c:pt idx="0">
                  <c:v>City 55 - Sum of Homes Passed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graphs'!$AG$6:$AG$7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27C-4905-B9B0-C6BC13F59712}"/>
            </c:ext>
          </c:extLst>
        </c:ser>
        <c:ser>
          <c:idx val="32"/>
          <c:order val="32"/>
          <c:tx>
            <c:strRef>
              <c:f>'Passes graphs'!$AH$3:$AH$5</c:f>
              <c:strCache>
                <c:ptCount val="1"/>
                <c:pt idx="0">
                  <c:v>City 57 - Sum of Homes Passed (cum)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graphs'!$AH$6:$AH$7</c:f>
              <c:numCache>
                <c:formatCode>General</c:formatCode>
                <c:ptCount val="1"/>
                <c:pt idx="0">
                  <c:v>7878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27C-4905-B9B0-C6BC13F59712}"/>
            </c:ext>
          </c:extLst>
        </c:ser>
        <c:ser>
          <c:idx val="33"/>
          <c:order val="33"/>
          <c:tx>
            <c:strRef>
              <c:f>'Passes graphs'!$AI$3:$AI$5</c:f>
              <c:strCache>
                <c:ptCount val="1"/>
                <c:pt idx="0">
                  <c:v>City 57 - Sum of MDU Passed (cum)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graphs'!$AI$6:$AI$7</c:f>
              <c:numCache>
                <c:formatCode>General</c:formatCode>
                <c:ptCount val="1"/>
                <c:pt idx="0">
                  <c:v>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27C-4905-B9B0-C6BC13F59712}"/>
            </c:ext>
          </c:extLst>
        </c:ser>
        <c:ser>
          <c:idx val="34"/>
          <c:order val="34"/>
          <c:tx>
            <c:strRef>
              <c:f>'Passes graphs'!$AJ$3:$AJ$5</c:f>
              <c:strCache>
                <c:ptCount val="1"/>
                <c:pt idx="0">
                  <c:v>City 57 - Sum of Homes Passed (prev)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graphs'!$AJ$6:$AJ$7</c:f>
              <c:numCache>
                <c:formatCode>General</c:formatCode>
                <c:ptCount val="1"/>
                <c:pt idx="0">
                  <c:v>7878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27C-4905-B9B0-C6BC13F59712}"/>
            </c:ext>
          </c:extLst>
        </c:ser>
        <c:ser>
          <c:idx val="35"/>
          <c:order val="35"/>
          <c:tx>
            <c:strRef>
              <c:f>'Passes graphs'!$AK$3:$AK$5</c:f>
              <c:strCache>
                <c:ptCount val="1"/>
                <c:pt idx="0">
                  <c:v>City 57 - Sum of Homes Passed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graphs'!$AK$6:$AK$7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27C-4905-B9B0-C6BC13F59712}"/>
            </c:ext>
          </c:extLst>
        </c:ser>
        <c:ser>
          <c:idx val="36"/>
          <c:order val="36"/>
          <c:tx>
            <c:strRef>
              <c:f>'Passes graphs'!$AL$3:$AL$5</c:f>
              <c:strCache>
                <c:ptCount val="1"/>
                <c:pt idx="0">
                  <c:v>City 6 - Sum of Homes Passed (cum)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graphs'!$AL$6:$AL$7</c:f>
              <c:numCache>
                <c:formatCode>General</c:formatCode>
                <c:ptCount val="1"/>
                <c:pt idx="0">
                  <c:v>6263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27C-4905-B9B0-C6BC13F59712}"/>
            </c:ext>
          </c:extLst>
        </c:ser>
        <c:ser>
          <c:idx val="37"/>
          <c:order val="37"/>
          <c:tx>
            <c:strRef>
              <c:f>'Passes graphs'!$AM$3:$AM$5</c:f>
              <c:strCache>
                <c:ptCount val="1"/>
                <c:pt idx="0">
                  <c:v>City 6 - Sum of MDU Passed (cum)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graphs'!$AM$6:$AM$7</c:f>
              <c:numCache>
                <c:formatCode>General</c:formatCode>
                <c:ptCount val="1"/>
                <c:pt idx="0">
                  <c:v>870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27C-4905-B9B0-C6BC13F59712}"/>
            </c:ext>
          </c:extLst>
        </c:ser>
        <c:ser>
          <c:idx val="38"/>
          <c:order val="38"/>
          <c:tx>
            <c:strRef>
              <c:f>'Passes graphs'!$AN$3:$AN$5</c:f>
              <c:strCache>
                <c:ptCount val="1"/>
                <c:pt idx="0">
                  <c:v>City 6 - Sum of Homes Passed (prev)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graphs'!$AN$6:$AN$7</c:f>
              <c:numCache>
                <c:formatCode>General</c:formatCode>
                <c:ptCount val="1"/>
                <c:pt idx="0">
                  <c:v>6263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427C-4905-B9B0-C6BC13F59712}"/>
            </c:ext>
          </c:extLst>
        </c:ser>
        <c:ser>
          <c:idx val="39"/>
          <c:order val="39"/>
          <c:tx>
            <c:strRef>
              <c:f>'Passes graphs'!$AO$3:$AO$5</c:f>
              <c:strCache>
                <c:ptCount val="1"/>
                <c:pt idx="0">
                  <c:v>City 6 - Sum of Homes Passed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'Passes graphs'!$A$6:$A$7</c:f>
              <c:strCache>
                <c:ptCount val="1"/>
                <c:pt idx="0">
                  <c:v>South West</c:v>
                </c:pt>
              </c:strCache>
            </c:strRef>
          </c:cat>
          <c:val>
            <c:numRef>
              <c:f>'Passes graphs'!$AO$6:$AO$7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427C-4905-B9B0-C6BC13F5971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axId val="751196703"/>
        <c:axId val="751199199"/>
      </c:barChart>
      <c:catAx>
        <c:axId val="751196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199199"/>
        <c:crosses val="autoZero"/>
        <c:auto val="1"/>
        <c:lblAlgn val="ctr"/>
        <c:lblOffset val="100"/>
        <c:noMultiLvlLbl val="0"/>
      </c:catAx>
      <c:valAx>
        <c:axId val="75119919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511967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23811</xdr:rowOff>
    </xdr:from>
    <xdr:to>
      <xdr:col>7</xdr:col>
      <xdr:colOff>57150</xdr:colOff>
      <xdr:row>25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29</xdr:row>
      <xdr:rowOff>114300</xdr:rowOff>
    </xdr:from>
    <xdr:to>
      <xdr:col>3</xdr:col>
      <xdr:colOff>876300</xdr:colOff>
      <xdr:row>44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1143000</xdr:colOff>
          <xdr:row>0</xdr:row>
          <xdr:rowOff>171450</xdr:rowOff>
        </xdr:from>
        <xdr:to>
          <xdr:col>4</xdr:col>
          <xdr:colOff>19050</xdr:colOff>
          <xdr:row>2</xdr:row>
          <xdr:rowOff>47625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414617</xdr:colOff>
      <xdr:row>7</xdr:row>
      <xdr:rowOff>89646</xdr:rowOff>
    </xdr:from>
    <xdr:to>
      <xdr:col>8</xdr:col>
      <xdr:colOff>224118</xdr:colOff>
      <xdr:row>26</xdr:row>
      <xdr:rowOff>89647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1123951</xdr:colOff>
      <xdr:row>7</xdr:row>
      <xdr:rowOff>161925</xdr:rowOff>
    </xdr:from>
    <xdr:to>
      <xdr:col>6</xdr:col>
      <xdr:colOff>533400</xdr:colOff>
      <xdr:row>24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1485900</xdr:colOff>
      <xdr:row>8</xdr:row>
      <xdr:rowOff>47624</xdr:rowOff>
    </xdr:from>
    <xdr:to>
      <xdr:col>6</xdr:col>
      <xdr:colOff>57150</xdr:colOff>
      <xdr:row>28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dheesha" refreshedDate="44700.546408680559" createdVersion="7" refreshedVersion="7" minRefreshableVersion="3" recordCount="58" xr:uid="{6DA1B7D0-5304-4EC1-9863-34B1B2FD0EFA}">
  <cacheSource type="worksheet">
    <worksheetSource ref="A1:U59" sheet="Dataset"/>
  </cacheSource>
  <cacheFields count="21">
    <cacheField name="Row Number" numFmtId="0">
      <sharedItems/>
    </cacheField>
    <cacheField name="Month" numFmtId="0">
      <sharedItems/>
    </cacheField>
    <cacheField name="City" numFmtId="0">
      <sharedItems count="58">
        <s v="City 1"/>
        <s v="City 2"/>
        <s v="City 3"/>
        <s v="City 4"/>
        <s v="City 5"/>
        <s v="City 6"/>
        <s v="City 7"/>
        <s v="City 8"/>
        <s v="City 9"/>
        <s v="City 10"/>
        <s v="City 11"/>
        <s v="City 12"/>
        <s v="City 13"/>
        <s v="City 14"/>
        <s v="City 15"/>
        <s v="City 16"/>
        <s v="City 17"/>
        <s v="City 18"/>
        <s v="City 19"/>
        <s v="City 20"/>
        <s v="City 21"/>
        <s v="City 22"/>
        <s v="City 23"/>
        <s v="City 24"/>
        <s v="City 25"/>
        <s v="City 26"/>
        <s v="City 27"/>
        <s v="City 28"/>
        <s v="City 29"/>
        <s v="City 30"/>
        <s v="City 31"/>
        <s v="City 32"/>
        <s v="City 33"/>
        <s v="City 34"/>
        <s v="City 35"/>
        <s v="City 36"/>
        <s v="City 37"/>
        <s v="City 38"/>
        <s v="City 39"/>
        <s v="City 40"/>
        <s v="City 41"/>
        <s v="City 42"/>
        <s v="City 43"/>
        <s v="City 44"/>
        <s v="City 45"/>
        <s v="City 46"/>
        <s v="City 47"/>
        <s v="City 48"/>
        <s v="City 49"/>
        <s v="City 50"/>
        <s v="City 51"/>
        <s v="City 52"/>
        <s v="City 53"/>
        <s v="City 54"/>
        <s v="City 55"/>
        <s v="City 56"/>
        <s v="City 57"/>
        <s v="City 58"/>
      </sharedItems>
    </cacheField>
    <cacheField name="Region" numFmtId="0">
      <sharedItems count="5">
        <s v="Scot &amp; North East"/>
        <s v="North &amp; North West"/>
        <s v="South East"/>
        <s v="South West"/>
        <s v="Midlands"/>
      </sharedItems>
    </cacheField>
    <cacheField name="Soft LOC (cum)" numFmtId="37">
      <sharedItems containsSemiMixedTypes="0" containsString="0" containsNumber="1" containsInteger="1" minValue="38" maxValue="17241" count="58">
        <n v="3771"/>
        <n v="228"/>
        <n v="38"/>
        <n v="1876"/>
        <n v="8395"/>
        <n v="675"/>
        <n v="1928"/>
        <n v="528"/>
        <n v="1010"/>
        <n v="5125"/>
        <n v="967"/>
        <n v="976"/>
        <n v="42"/>
        <n v="17241"/>
        <n v="615"/>
        <n v="3671"/>
        <n v="1021"/>
        <n v="2398"/>
        <n v="2113"/>
        <n v="4140"/>
        <n v="9824"/>
        <n v="4279"/>
        <n v="4377"/>
        <n v="1379"/>
        <n v="1230"/>
        <n v="2696"/>
        <n v="1494"/>
        <n v="3765"/>
        <n v="16343"/>
        <n v="7530"/>
        <n v="2505"/>
        <n v="377"/>
        <n v="790"/>
        <n v="4241"/>
        <n v="6225"/>
        <n v="140"/>
        <n v="5399"/>
        <n v="875"/>
        <n v="681"/>
        <n v="3619"/>
        <n v="818"/>
        <n v="475"/>
        <n v="3667"/>
        <n v="913"/>
        <n v="4074"/>
        <n v="9546"/>
        <n v="1203"/>
        <n v="3404"/>
        <n v="5186"/>
        <n v="2280"/>
        <n v="8009"/>
        <n v="612"/>
        <n v="274"/>
        <n v="3957"/>
        <n v="391"/>
        <n v="3979"/>
        <n v="375"/>
        <n v="3916"/>
      </sharedItems>
    </cacheField>
    <cacheField name="Soft LOC (prev)" numFmtId="37">
      <sharedItems containsSemiMixedTypes="0" containsString="0" containsNumber="1" containsInteger="1" minValue="38" maxValue="17321"/>
    </cacheField>
    <cacheField name="Net Soft LOC" numFmtId="37">
      <sharedItems containsSemiMixedTypes="0" containsString="0" containsNumber="1" containsInteger="1" minValue="-530" maxValue="599" count="30">
        <n v="-206"/>
        <n v="0"/>
        <n v="-1"/>
        <n v="-80"/>
        <n v="-40"/>
        <n v="1"/>
        <n v="4"/>
        <n v="45"/>
        <n v="-4"/>
        <n v="-53"/>
        <n v="386"/>
        <n v="23"/>
        <n v="94"/>
        <n v="599"/>
        <n v="21"/>
        <n v="-13"/>
        <n v="6"/>
        <n v="-156"/>
        <n v="139"/>
        <n v="125"/>
        <n v="157"/>
        <n v="2"/>
        <n v="18"/>
        <n v="118"/>
        <n v="-10"/>
        <n v="-41"/>
        <n v="-86"/>
        <n v="-530"/>
        <n v="49"/>
        <n v="38"/>
      </sharedItems>
    </cacheField>
    <cacheField name="Homes RFS (cum)" numFmtId="37">
      <sharedItems containsSemiMixedTypes="0" containsString="0" containsNumber="1" containsInteger="1" minValue="345" maxValue="104224"/>
    </cacheField>
    <cacheField name="Homes RFS (prev)" numFmtId="37">
      <sharedItems containsSemiMixedTypes="0" containsString="0" containsNumber="1" containsInteger="1" minValue="345" maxValue="104107"/>
    </cacheField>
    <cacheField name="Homes RFS" numFmtId="37">
      <sharedItems containsSemiMixedTypes="0" containsString="0" containsNumber="1" containsInteger="1" minValue="-253" maxValue="912"/>
    </cacheField>
    <cacheField name="Homes Passed (cum)" numFmtId="37">
      <sharedItems containsSemiMixedTypes="0" containsString="0" containsNumber="1" containsInteger="1" minValue="383" maxValue="121471"/>
    </cacheField>
    <cacheField name="Homes Passed (prev)" numFmtId="37">
      <sharedItems containsSemiMixedTypes="0" containsString="0" containsNumber="1" containsInteger="1" minValue="383" maxValue="121434"/>
    </cacheField>
    <cacheField name="Homes Passed" numFmtId="37">
      <sharedItems containsSemiMixedTypes="0" containsString="0" containsNumber="1" containsInteger="1" minValue="-366" maxValue="1051"/>
    </cacheField>
    <cacheField name="Resolved LOC" numFmtId="37">
      <sharedItems containsSemiMixedTypes="0" containsString="0" containsNumber="1" containsInteger="1" minValue="0" maxValue="233"/>
    </cacheField>
    <cacheField name="New RFS" numFmtId="37">
      <sharedItems containsSemiMixedTypes="0" containsString="0" containsNumber="1" containsInteger="1" minValue="0" maxValue="888"/>
    </cacheField>
    <cacheField name="New LOC" numFmtId="37">
      <sharedItems containsSemiMixedTypes="0" containsString="0" containsNumber="1" containsInteger="1" minValue="0" maxValue="376"/>
    </cacheField>
    <cacheField name="Reverted to LOC" numFmtId="37">
      <sharedItems containsSemiMixedTypes="0" containsString="0" containsNumber="1" containsInteger="1" minValue="0" maxValue="639"/>
    </cacheField>
    <cacheField name="Removed LOC" numFmtId="37">
      <sharedItems containsSemiMixedTypes="0" containsString="0" containsNumber="1" containsInteger="1" minValue="0" maxValue="373"/>
    </cacheField>
    <cacheField name="Removed RFS" numFmtId="37">
      <sharedItems containsSemiMixedTypes="0" containsString="0" containsNumber="1" containsInteger="1" minValue="0" maxValue="13"/>
    </cacheField>
    <cacheField name="New LOC MDU" numFmtId="37">
      <sharedItems containsSemiMixedTypes="0" containsString="0" containsNumber="1" containsInteger="1" minValue="0" maxValue="371"/>
    </cacheField>
    <cacheField name="MDU Passed (cum)" numFmtId="37">
      <sharedItems containsSemiMixedTypes="0" containsString="0" containsNumber="1" containsInteger="1" minValue="0" maxValue="33178" count="58">
        <n v="33178"/>
        <n v="414"/>
        <n v="47"/>
        <n v="1783"/>
        <n v="19789"/>
        <n v="870"/>
        <n v="1709"/>
        <n v="742"/>
        <n v="1027"/>
        <n v="6825"/>
        <n v="456"/>
        <n v="1554"/>
        <n v="62"/>
        <n v="16649"/>
        <n v="919"/>
        <n v="5601"/>
        <n v="941"/>
        <n v="3011"/>
        <n v="11879"/>
        <n v="6799"/>
        <n v="32993"/>
        <n v="4559"/>
        <n v="9312"/>
        <n v="784"/>
        <n v="1359"/>
        <n v="2979"/>
        <n v="2679"/>
        <n v="4635"/>
        <n v="18217"/>
        <n v="7554"/>
        <n v="2261"/>
        <n v="345"/>
        <n v="626"/>
        <n v="10508"/>
        <n v="7125"/>
        <n v="0"/>
        <n v="6096"/>
        <n v="878"/>
        <n v="520"/>
        <n v="9145"/>
        <n v="441"/>
        <n v="553"/>
        <n v="9113"/>
        <n v="816"/>
        <n v="5391"/>
        <n v="21603"/>
        <n v="1461"/>
        <n v="4398"/>
        <n v="4490"/>
        <n v="1725"/>
        <n v="10166"/>
        <n v="4917"/>
        <n v="91"/>
        <n v="3044"/>
        <n v="351"/>
        <n v="4802"/>
        <n v="284"/>
        <n v="5986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dheesha" refreshedDate="44700.949808217592" createdVersion="7" refreshedVersion="7" minRefreshableVersion="3" recordCount="62" xr:uid="{4BCAF8BE-6A41-4F0D-8E27-7129E7C3E577}">
  <cacheSource type="worksheet">
    <worksheetSource ref="A1:X1048576" sheet="Copy of the dataset"/>
  </cacheSource>
  <cacheFields count="24">
    <cacheField name="Row Number" numFmtId="0">
      <sharedItems containsBlank="1"/>
    </cacheField>
    <cacheField name="Month" numFmtId="0">
      <sharedItems containsBlank="1"/>
    </cacheField>
    <cacheField name="City" numFmtId="0">
      <sharedItems containsBlank="1" count="59">
        <s v="City 1"/>
        <s v="City 2"/>
        <s v="City 3"/>
        <s v="City 4"/>
        <s v="City 5"/>
        <s v="City 6"/>
        <s v="City 7"/>
        <s v="City 8"/>
        <s v="City 9"/>
        <s v="City 10"/>
        <s v="City 11"/>
        <s v="City 12"/>
        <s v="City 13"/>
        <s v="City 14"/>
        <s v="City 15"/>
        <s v="City 16"/>
        <s v="City 17"/>
        <s v="City 18"/>
        <s v="City 19"/>
        <s v="City 20"/>
        <s v="City 21"/>
        <s v="City 22"/>
        <s v="City 23"/>
        <s v="City 24"/>
        <s v="City 25"/>
        <s v="City 26"/>
        <s v="City 27"/>
        <s v="City 28"/>
        <s v="City 29"/>
        <s v="City 30"/>
        <s v="City 31"/>
        <s v="City 32"/>
        <s v="City 33"/>
        <s v="City 34"/>
        <s v="City 35"/>
        <s v="City 36"/>
        <s v="City 37"/>
        <s v="City 38"/>
        <s v="City 39"/>
        <s v="City 40"/>
        <s v="City 41"/>
        <s v="City 42"/>
        <s v="City 43"/>
        <s v="City 44"/>
        <s v="City 45"/>
        <s v="City 46"/>
        <s v="City 47"/>
        <s v="City 48"/>
        <s v="City 49"/>
        <s v="City 50"/>
        <s v="City 51"/>
        <s v="City 52"/>
        <s v="City 53"/>
        <s v="City 54"/>
        <s v="City 55"/>
        <s v="City 56"/>
        <s v="City 57"/>
        <s v="City 58"/>
        <m/>
      </sharedItems>
    </cacheField>
    <cacheField name="Region" numFmtId="0">
      <sharedItems containsBlank="1" count="6">
        <s v="Scot &amp; North East"/>
        <s v="North &amp; North West"/>
        <s v="South East"/>
        <s v="South West"/>
        <s v="Midlands"/>
        <m/>
      </sharedItems>
    </cacheField>
    <cacheField name="Soft LOC (cum)" numFmtId="0">
      <sharedItems containsString="0" containsBlank="1" containsNumber="1" containsInteger="1" minValue="38" maxValue="17241"/>
    </cacheField>
    <cacheField name="Soft LOC (prev)" numFmtId="0">
      <sharedItems containsString="0" containsBlank="1" containsNumber="1" containsInteger="1" minValue="38" maxValue="17321"/>
    </cacheField>
    <cacheField name="Net Soft LOC" numFmtId="0">
      <sharedItems containsString="0" containsBlank="1" containsNumber="1" containsInteger="1" minValue="-530" maxValue="599"/>
    </cacheField>
    <cacheField name="LOC" numFmtId="0">
      <sharedItems containsString="0" containsBlank="1" containsNumber="1" minValue="-6.2068157863918492" maxValue="15.854949708840657"/>
    </cacheField>
    <cacheField name="Homes RFS (cum)" numFmtId="0">
      <sharedItems containsString="0" containsBlank="1" containsNumber="1" containsInteger="1" minValue="345" maxValue="104224"/>
    </cacheField>
    <cacheField name="Homes RFS (prev)" numFmtId="0">
      <sharedItems containsString="0" containsBlank="1" containsNumber="1" containsInteger="1" minValue="345" maxValue="104107"/>
    </cacheField>
    <cacheField name="Homes RFS" numFmtId="0">
      <sharedItems containsString="0" containsBlank="1" containsNumber="1" containsInteger="1" minValue="-253" maxValue="912"/>
    </cacheField>
    <cacheField name="RFS" numFmtId="0">
      <sharedItems containsString="0" containsBlank="1" containsNumber="1" minValue="-1.8955570540196298" maxValue="14.920634920634921"/>
    </cacheField>
    <cacheField name="Homes Passed (cum)" numFmtId="0">
      <sharedItems containsString="0" containsBlank="1" containsNumber="1" containsInteger="1" minValue="383" maxValue="121471"/>
    </cacheField>
    <cacheField name="Homes Passed (prev)" numFmtId="0">
      <sharedItems containsString="0" containsBlank="1" containsNumber="1" containsInteger="1" minValue="383" maxValue="121434"/>
    </cacheField>
    <cacheField name="Homes Passed" numFmtId="0">
      <sharedItems containsString="0" containsBlank="1" containsNumber="1" containsInteger="1" minValue="-366" maxValue="1051"/>
    </cacheField>
    <cacheField name="Passed" numFmtId="0">
      <sharedItems containsString="0" containsBlank="1" containsNumber="1" minValue="-0.75055368714625537" maxValue="14.910536779324055"/>
    </cacheField>
    <cacheField name="Resolved LOC" numFmtId="0">
      <sharedItems containsString="0" containsBlank="1" containsNumber="1" containsInteger="1" minValue="0" maxValue="233"/>
    </cacheField>
    <cacheField name="New RFS" numFmtId="0">
      <sharedItems containsString="0" containsBlank="1" containsNumber="1" containsInteger="1" minValue="0" maxValue="888"/>
    </cacheField>
    <cacheField name="New LOC" numFmtId="0">
      <sharedItems containsString="0" containsBlank="1" containsNumber="1" containsInteger="1" minValue="0" maxValue="376"/>
    </cacheField>
    <cacheField name="Reverted to LOC" numFmtId="0">
      <sharedItems containsString="0" containsBlank="1" containsNumber="1" containsInteger="1" minValue="0" maxValue="639"/>
    </cacheField>
    <cacheField name="Removed LOC" numFmtId="0">
      <sharedItems containsString="0" containsBlank="1" containsNumber="1" containsInteger="1" minValue="0" maxValue="373"/>
    </cacheField>
    <cacheField name="Removed RFS" numFmtId="0">
      <sharedItems containsString="0" containsBlank="1" containsNumber="1" containsInteger="1" minValue="0" maxValue="13"/>
    </cacheField>
    <cacheField name="New LOC MDU" numFmtId="0">
      <sharedItems containsString="0" containsBlank="1" containsNumber="1" containsInteger="1" minValue="0" maxValue="371"/>
    </cacheField>
    <cacheField name="MDU Passed (cum)" numFmtId="0">
      <sharedItems containsString="0" containsBlank="1" containsNumber="1" containsInteger="1" minValue="0" maxValue="331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dheesha" refreshedDate="44700.954984606484" createdVersion="7" refreshedVersion="7" minRefreshableVersion="3" recordCount="58" xr:uid="{185C2ECC-84AB-4464-935A-9D570B4E4CA8}">
  <cacheSource type="worksheet">
    <worksheetSource ref="A1:X59" sheet="Copy of the dataset"/>
  </cacheSource>
  <cacheFields count="24">
    <cacheField name="Row Number" numFmtId="0">
      <sharedItems/>
    </cacheField>
    <cacheField name="Month" numFmtId="0">
      <sharedItems/>
    </cacheField>
    <cacheField name="City" numFmtId="0">
      <sharedItems count="58">
        <s v="City 1"/>
        <s v="City 2"/>
        <s v="City 3"/>
        <s v="City 4"/>
        <s v="City 5"/>
        <s v="City 6"/>
        <s v="City 7"/>
        <s v="City 8"/>
        <s v="City 9"/>
        <s v="City 10"/>
        <s v="City 11"/>
        <s v="City 12"/>
        <s v="City 13"/>
        <s v="City 14"/>
        <s v="City 15"/>
        <s v="City 16"/>
        <s v="City 17"/>
        <s v="City 18"/>
        <s v="City 19"/>
        <s v="City 20"/>
        <s v="City 21"/>
        <s v="City 22"/>
        <s v="City 23"/>
        <s v="City 24"/>
        <s v="City 25"/>
        <s v="City 26"/>
        <s v="City 27"/>
        <s v="City 28"/>
        <s v="City 29"/>
        <s v="City 30"/>
        <s v="City 31"/>
        <s v="City 32"/>
        <s v="City 33"/>
        <s v="City 34"/>
        <s v="City 35"/>
        <s v="City 36"/>
        <s v="City 37"/>
        <s v="City 38"/>
        <s v="City 39"/>
        <s v="City 40"/>
        <s v="City 41"/>
        <s v="City 42"/>
        <s v="City 43"/>
        <s v="City 44"/>
        <s v="City 45"/>
        <s v="City 46"/>
        <s v="City 47"/>
        <s v="City 48"/>
        <s v="City 49"/>
        <s v="City 50"/>
        <s v="City 51"/>
        <s v="City 52"/>
        <s v="City 53"/>
        <s v="City 54"/>
        <s v="City 55"/>
        <s v="City 56"/>
        <s v="City 57"/>
        <s v="City 58"/>
      </sharedItems>
    </cacheField>
    <cacheField name="Region" numFmtId="0">
      <sharedItems count="5">
        <s v="Scot &amp; North East"/>
        <s v="North &amp; North West"/>
        <s v="South East"/>
        <s v="South West"/>
        <s v="Midlands"/>
      </sharedItems>
    </cacheField>
    <cacheField name="Soft LOC (cum)" numFmtId="37">
      <sharedItems containsSemiMixedTypes="0" containsString="0" containsNumber="1" containsInteger="1" minValue="38" maxValue="17241"/>
    </cacheField>
    <cacheField name="Soft LOC (prev)" numFmtId="37">
      <sharedItems containsSemiMixedTypes="0" containsString="0" containsNumber="1" containsInteger="1" minValue="38" maxValue="17321"/>
    </cacheField>
    <cacheField name="Net Soft LOC" numFmtId="37">
      <sharedItems containsSemiMixedTypes="0" containsString="0" containsNumber="1" containsInteger="1" minValue="-530" maxValue="599"/>
    </cacheField>
    <cacheField name="LOC" numFmtId="0">
      <sharedItems containsSemiMixedTypes="0" containsString="0" containsNumber="1" minValue="-6.2068157863918492" maxValue="15.854949708840657"/>
    </cacheField>
    <cacheField name="Homes RFS (cum)" numFmtId="37">
      <sharedItems containsSemiMixedTypes="0" containsString="0" containsNumber="1" containsInteger="1" minValue="345" maxValue="104224"/>
    </cacheField>
    <cacheField name="Homes RFS (prev)" numFmtId="37">
      <sharedItems containsSemiMixedTypes="0" containsString="0" containsNumber="1" containsInteger="1" minValue="345" maxValue="104107"/>
    </cacheField>
    <cacheField name="Homes RFS" numFmtId="37">
      <sharedItems containsSemiMixedTypes="0" containsString="0" containsNumber="1" containsInteger="1" minValue="-253" maxValue="912"/>
    </cacheField>
    <cacheField name="RFS" numFmtId="0">
      <sharedItems containsSemiMixedTypes="0" containsString="0" containsNumber="1" minValue="-1.8955570540196298" maxValue="14.920634920634921"/>
    </cacheField>
    <cacheField name="Homes Passed (cum)" numFmtId="37">
      <sharedItems containsSemiMixedTypes="0" containsString="0" containsNumber="1" containsInteger="1" minValue="383" maxValue="121471"/>
    </cacheField>
    <cacheField name="Homes Passed (prev)" numFmtId="37">
      <sharedItems containsSemiMixedTypes="0" containsString="0" containsNumber="1" containsInteger="1" minValue="383" maxValue="121434"/>
    </cacheField>
    <cacheField name="Homes Passed" numFmtId="37">
      <sharedItems containsSemiMixedTypes="0" containsString="0" containsNumber="1" containsInteger="1" minValue="-366" maxValue="1051"/>
    </cacheField>
    <cacheField name="Passed" numFmtId="0">
      <sharedItems containsSemiMixedTypes="0" containsString="0" containsNumber="1" minValue="-0.75055368714625537" maxValue="14.910536779324055"/>
    </cacheField>
    <cacheField name="Resolved LOC" numFmtId="37">
      <sharedItems containsSemiMixedTypes="0" containsString="0" containsNumber="1" containsInteger="1" minValue="0" maxValue="233"/>
    </cacheField>
    <cacheField name="New RFS" numFmtId="37">
      <sharedItems containsSemiMixedTypes="0" containsString="0" containsNumber="1" containsInteger="1" minValue="0" maxValue="888"/>
    </cacheField>
    <cacheField name="New LOC" numFmtId="37">
      <sharedItems containsSemiMixedTypes="0" containsString="0" containsNumber="1" containsInteger="1" minValue="0" maxValue="376"/>
    </cacheField>
    <cacheField name="Reverted to LOC" numFmtId="37">
      <sharedItems containsSemiMixedTypes="0" containsString="0" containsNumber="1" containsInteger="1" minValue="0" maxValue="639"/>
    </cacheField>
    <cacheField name="Removed LOC" numFmtId="37">
      <sharedItems containsSemiMixedTypes="0" containsString="0" containsNumber="1" containsInteger="1" minValue="0" maxValue="373"/>
    </cacheField>
    <cacheField name="Removed RFS" numFmtId="37">
      <sharedItems containsSemiMixedTypes="0" containsString="0" containsNumber="1" containsInteger="1" minValue="0" maxValue="13"/>
    </cacheField>
    <cacheField name="New LOC MDU" numFmtId="37">
      <sharedItems containsSemiMixedTypes="0" containsString="0" containsNumber="1" containsInteger="1" minValue="0" maxValue="371"/>
    </cacheField>
    <cacheField name="MDU Passed (cum)" numFmtId="37">
      <sharedItems containsSemiMixedTypes="0" containsString="0" containsNumber="1" containsInteger="1" minValue="0" maxValue="331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">
  <r>
    <s v="1"/>
    <s v="May-22"/>
    <x v="0"/>
    <x v="0"/>
    <x v="0"/>
    <n v="3977"/>
    <x v="0"/>
    <n v="73166"/>
    <n v="72926"/>
    <n v="240"/>
    <n v="76937"/>
    <n v="76903"/>
    <n v="34"/>
    <n v="206"/>
    <n v="34"/>
    <n v="0"/>
    <n v="0"/>
    <n v="0"/>
    <n v="0"/>
    <n v="0"/>
    <x v="0"/>
  </r>
  <r>
    <s v="2"/>
    <s v="May-22"/>
    <x v="1"/>
    <x v="1"/>
    <x v="1"/>
    <n v="228"/>
    <x v="1"/>
    <n v="2283"/>
    <n v="2283"/>
    <n v="0"/>
    <n v="2511"/>
    <n v="2511"/>
    <n v="0"/>
    <n v="0"/>
    <n v="0"/>
    <n v="0"/>
    <n v="0"/>
    <n v="0"/>
    <n v="0"/>
    <n v="0"/>
    <x v="1"/>
  </r>
  <r>
    <s v="3"/>
    <s v="May-22"/>
    <x v="2"/>
    <x v="1"/>
    <x v="2"/>
    <n v="38"/>
    <x v="1"/>
    <n v="345"/>
    <n v="345"/>
    <n v="0"/>
    <n v="383"/>
    <n v="383"/>
    <n v="0"/>
    <n v="0"/>
    <n v="0"/>
    <n v="0"/>
    <n v="0"/>
    <n v="0"/>
    <n v="0"/>
    <n v="0"/>
    <x v="2"/>
  </r>
  <r>
    <s v="4"/>
    <s v="May-22"/>
    <x v="3"/>
    <x v="1"/>
    <x v="3"/>
    <n v="1877"/>
    <x v="2"/>
    <n v="22379"/>
    <n v="22377"/>
    <n v="2"/>
    <n v="24255"/>
    <n v="24254"/>
    <n v="1"/>
    <n v="2"/>
    <n v="1"/>
    <n v="0"/>
    <n v="1"/>
    <n v="0"/>
    <n v="0"/>
    <n v="0"/>
    <x v="3"/>
  </r>
  <r>
    <s v="5"/>
    <s v="May-22"/>
    <x v="4"/>
    <x v="2"/>
    <x v="4"/>
    <n v="8475"/>
    <x v="3"/>
    <n v="56068"/>
    <n v="56025"/>
    <n v="43"/>
    <n v="64463"/>
    <n v="64500"/>
    <n v="-37"/>
    <n v="82"/>
    <n v="0"/>
    <n v="1"/>
    <n v="39"/>
    <n v="38"/>
    <n v="0"/>
    <n v="1"/>
    <x v="4"/>
  </r>
  <r>
    <s v="6"/>
    <s v="May-22"/>
    <x v="5"/>
    <x v="3"/>
    <x v="5"/>
    <n v="675"/>
    <x v="1"/>
    <n v="5588"/>
    <n v="5588"/>
    <n v="0"/>
    <n v="6263"/>
    <n v="6263"/>
    <n v="0"/>
    <n v="1"/>
    <n v="0"/>
    <n v="0"/>
    <n v="1"/>
    <n v="0"/>
    <n v="0"/>
    <n v="0"/>
    <x v="5"/>
  </r>
  <r>
    <s v="7"/>
    <s v="May-22"/>
    <x v="6"/>
    <x v="1"/>
    <x v="6"/>
    <n v="1968"/>
    <x v="4"/>
    <n v="7934"/>
    <n v="7899"/>
    <n v="35"/>
    <n v="9862"/>
    <n v="9867"/>
    <n v="-5"/>
    <n v="40"/>
    <n v="0"/>
    <n v="0"/>
    <n v="1"/>
    <n v="1"/>
    <n v="4"/>
    <n v="0"/>
    <x v="6"/>
  </r>
  <r>
    <s v="8"/>
    <s v="May-22"/>
    <x v="7"/>
    <x v="2"/>
    <x v="7"/>
    <n v="528"/>
    <x v="1"/>
    <n v="4446"/>
    <n v="4446"/>
    <n v="0"/>
    <n v="4974"/>
    <n v="4974"/>
    <n v="0"/>
    <n v="0"/>
    <n v="0"/>
    <n v="0"/>
    <n v="0"/>
    <n v="0"/>
    <n v="0"/>
    <n v="0"/>
    <x v="7"/>
  </r>
  <r>
    <s v="9"/>
    <s v="May-22"/>
    <x v="8"/>
    <x v="2"/>
    <x v="8"/>
    <n v="1010"/>
    <x v="1"/>
    <n v="5922"/>
    <n v="5922"/>
    <n v="0"/>
    <n v="6932"/>
    <n v="6932"/>
    <n v="0"/>
    <n v="0"/>
    <n v="0"/>
    <n v="0"/>
    <n v="0"/>
    <n v="0"/>
    <n v="0"/>
    <n v="0"/>
    <x v="8"/>
  </r>
  <r>
    <s v="10"/>
    <s v="May-22"/>
    <x v="9"/>
    <x v="4"/>
    <x v="9"/>
    <n v="5124"/>
    <x v="5"/>
    <n v="23376"/>
    <n v="23377"/>
    <n v="-1"/>
    <n v="28501"/>
    <n v="28501"/>
    <n v="0"/>
    <n v="0"/>
    <n v="0"/>
    <n v="0"/>
    <n v="1"/>
    <n v="0"/>
    <n v="0"/>
    <n v="0"/>
    <x v="9"/>
  </r>
  <r>
    <s v="11"/>
    <s v="May-22"/>
    <x v="10"/>
    <x v="2"/>
    <x v="10"/>
    <n v="967"/>
    <x v="1"/>
    <n v="9797"/>
    <n v="9797"/>
    <n v="0"/>
    <n v="10764"/>
    <n v="10764"/>
    <n v="0"/>
    <n v="0"/>
    <n v="0"/>
    <n v="0"/>
    <n v="0"/>
    <n v="0"/>
    <n v="0"/>
    <n v="0"/>
    <x v="10"/>
  </r>
  <r>
    <s v="12"/>
    <s v="May-22"/>
    <x v="11"/>
    <x v="3"/>
    <x v="11"/>
    <n v="976"/>
    <x v="1"/>
    <n v="3295"/>
    <n v="3295"/>
    <n v="0"/>
    <n v="4271"/>
    <n v="4271"/>
    <n v="0"/>
    <n v="0"/>
    <n v="0"/>
    <n v="0"/>
    <n v="0"/>
    <n v="0"/>
    <n v="0"/>
    <n v="0"/>
    <x v="11"/>
  </r>
  <r>
    <s v="13"/>
    <s v="May-22"/>
    <x v="12"/>
    <x v="1"/>
    <x v="12"/>
    <n v="42"/>
    <x v="1"/>
    <n v="888"/>
    <n v="888"/>
    <n v="0"/>
    <n v="930"/>
    <n v="930"/>
    <n v="0"/>
    <n v="0"/>
    <n v="0"/>
    <n v="0"/>
    <n v="0"/>
    <n v="0"/>
    <n v="0"/>
    <n v="0"/>
    <x v="12"/>
  </r>
  <r>
    <s v="14"/>
    <s v="May-22"/>
    <x v="13"/>
    <x v="4"/>
    <x v="13"/>
    <n v="17321"/>
    <x v="3"/>
    <n v="104224"/>
    <n v="104107"/>
    <n v="117"/>
    <n v="121471"/>
    <n v="121434"/>
    <n v="37"/>
    <n v="88"/>
    <n v="37"/>
    <n v="1"/>
    <n v="8"/>
    <n v="1"/>
    <n v="0"/>
    <n v="0"/>
    <x v="13"/>
  </r>
  <r>
    <s v="15"/>
    <s v="May-22"/>
    <x v="14"/>
    <x v="2"/>
    <x v="14"/>
    <n v="611"/>
    <x v="6"/>
    <n v="6721"/>
    <n v="6725"/>
    <n v="-4"/>
    <n v="7336"/>
    <n v="7336"/>
    <n v="0"/>
    <n v="0"/>
    <n v="0"/>
    <n v="0"/>
    <n v="4"/>
    <n v="0"/>
    <n v="0"/>
    <n v="0"/>
    <x v="14"/>
  </r>
  <r>
    <s v="16"/>
    <s v="May-22"/>
    <x v="15"/>
    <x v="4"/>
    <x v="15"/>
    <n v="3626"/>
    <x v="7"/>
    <n v="30740"/>
    <n v="30016"/>
    <n v="724"/>
    <n v="34411"/>
    <n v="33642"/>
    <n v="769"/>
    <n v="0"/>
    <n v="724"/>
    <n v="45"/>
    <n v="0"/>
    <n v="0"/>
    <n v="0"/>
    <n v="6"/>
    <x v="15"/>
  </r>
  <r>
    <s v="17"/>
    <s v="May-22"/>
    <x v="16"/>
    <x v="1"/>
    <x v="16"/>
    <n v="1021"/>
    <x v="1"/>
    <n v="18831"/>
    <n v="18831"/>
    <n v="0"/>
    <n v="19852"/>
    <n v="19852"/>
    <n v="0"/>
    <n v="0"/>
    <n v="0"/>
    <n v="0"/>
    <n v="0"/>
    <n v="0"/>
    <n v="0"/>
    <n v="0"/>
    <x v="16"/>
  </r>
  <r>
    <s v="18"/>
    <s v="May-22"/>
    <x v="17"/>
    <x v="1"/>
    <x v="17"/>
    <n v="2402"/>
    <x v="8"/>
    <n v="22801"/>
    <n v="22793"/>
    <n v="8"/>
    <n v="25199"/>
    <n v="25195"/>
    <n v="4"/>
    <n v="22"/>
    <n v="4"/>
    <n v="0"/>
    <n v="18"/>
    <n v="0"/>
    <n v="0"/>
    <n v="0"/>
    <x v="17"/>
  </r>
  <r>
    <s v="19"/>
    <s v="May-22"/>
    <x v="18"/>
    <x v="0"/>
    <x v="18"/>
    <n v="2166"/>
    <x v="9"/>
    <n v="26475"/>
    <n v="26475"/>
    <n v="0"/>
    <n v="28588"/>
    <n v="28641"/>
    <n v="-53"/>
    <n v="0"/>
    <n v="0"/>
    <n v="0"/>
    <n v="0"/>
    <n v="53"/>
    <n v="0"/>
    <n v="0"/>
    <x v="18"/>
  </r>
  <r>
    <s v="20"/>
    <s v="May-22"/>
    <x v="19"/>
    <x v="2"/>
    <x v="19"/>
    <n v="3754"/>
    <x v="10"/>
    <n v="10420"/>
    <n v="10235"/>
    <n v="185"/>
    <n v="14560"/>
    <n v="13989"/>
    <n v="571"/>
    <n v="8"/>
    <n v="195"/>
    <n v="376"/>
    <n v="18"/>
    <n v="0"/>
    <n v="0"/>
    <n v="371"/>
    <x v="19"/>
  </r>
  <r>
    <s v="21"/>
    <s v="May-22"/>
    <x v="20"/>
    <x v="0"/>
    <x v="20"/>
    <n v="9801"/>
    <x v="11"/>
    <n v="71847"/>
    <n v="71502"/>
    <n v="345"/>
    <n v="81673"/>
    <n v="81305"/>
    <n v="368"/>
    <n v="10"/>
    <n v="335"/>
    <n v="33"/>
    <n v="0"/>
    <n v="0"/>
    <n v="0"/>
    <n v="0"/>
    <x v="20"/>
  </r>
  <r>
    <s v="22"/>
    <s v="May-22"/>
    <x v="21"/>
    <x v="0"/>
    <x v="21"/>
    <n v="4185"/>
    <x v="12"/>
    <n v="8125"/>
    <n v="7788"/>
    <n v="337"/>
    <n v="12404"/>
    <n v="11973"/>
    <n v="431"/>
    <n v="0"/>
    <n v="337"/>
    <n v="94"/>
    <n v="0"/>
    <n v="0"/>
    <n v="0"/>
    <n v="94"/>
    <x v="21"/>
  </r>
  <r>
    <s v="23"/>
    <s v="May-22"/>
    <x v="22"/>
    <x v="0"/>
    <x v="22"/>
    <n v="3778"/>
    <x v="13"/>
    <n v="13094"/>
    <n v="13347"/>
    <n v="-253"/>
    <n v="17472"/>
    <n v="17126"/>
    <n v="346"/>
    <n v="66"/>
    <n v="320"/>
    <n v="26"/>
    <n v="639"/>
    <n v="0"/>
    <n v="0"/>
    <n v="26"/>
    <x v="22"/>
  </r>
  <r>
    <s v="24"/>
    <s v="May-22"/>
    <x v="23"/>
    <x v="3"/>
    <x v="23"/>
    <n v="1358"/>
    <x v="14"/>
    <n v="11797"/>
    <n v="11803"/>
    <n v="-6"/>
    <n v="13176"/>
    <n v="13161"/>
    <n v="15"/>
    <n v="0"/>
    <n v="5"/>
    <n v="10"/>
    <n v="11"/>
    <n v="0"/>
    <n v="0"/>
    <n v="0"/>
    <x v="23"/>
  </r>
  <r>
    <s v="25"/>
    <s v="May-22"/>
    <x v="24"/>
    <x v="1"/>
    <x v="24"/>
    <n v="1243"/>
    <x v="15"/>
    <n v="13220"/>
    <n v="13208"/>
    <n v="12"/>
    <n v="14450"/>
    <n v="14451"/>
    <n v="-1"/>
    <n v="13"/>
    <n v="0"/>
    <n v="0"/>
    <n v="0"/>
    <n v="0"/>
    <n v="1"/>
    <n v="0"/>
    <x v="24"/>
  </r>
  <r>
    <s v="26"/>
    <s v="May-22"/>
    <x v="25"/>
    <x v="1"/>
    <x v="25"/>
    <n v="2696"/>
    <x v="1"/>
    <n v="33023"/>
    <n v="32999"/>
    <n v="24"/>
    <n v="35719"/>
    <n v="35695"/>
    <n v="24"/>
    <n v="0"/>
    <n v="24"/>
    <n v="0"/>
    <n v="0"/>
    <n v="0"/>
    <n v="0"/>
    <n v="0"/>
    <x v="25"/>
  </r>
  <r>
    <s v="27"/>
    <s v="May-22"/>
    <x v="26"/>
    <x v="0"/>
    <x v="26"/>
    <n v="1488"/>
    <x v="16"/>
    <n v="24488"/>
    <n v="24218"/>
    <n v="270"/>
    <n v="25982"/>
    <n v="25706"/>
    <n v="276"/>
    <n v="0"/>
    <n v="270"/>
    <n v="6"/>
    <n v="0"/>
    <n v="0"/>
    <n v="0"/>
    <n v="6"/>
    <x v="26"/>
  </r>
  <r>
    <s v="28"/>
    <s v="May-22"/>
    <x v="27"/>
    <x v="2"/>
    <x v="27"/>
    <n v="3921"/>
    <x v="17"/>
    <n v="25674"/>
    <n v="25519"/>
    <n v="155"/>
    <n v="29439"/>
    <n v="29440"/>
    <n v="-1"/>
    <n v="156"/>
    <n v="0"/>
    <n v="0"/>
    <n v="0"/>
    <n v="0"/>
    <n v="1"/>
    <n v="0"/>
    <x v="27"/>
  </r>
  <r>
    <s v="29"/>
    <s v="May-22"/>
    <x v="28"/>
    <x v="1"/>
    <x v="28"/>
    <n v="16204"/>
    <x v="18"/>
    <n v="74601"/>
    <n v="73689"/>
    <n v="912"/>
    <n v="90949"/>
    <n v="89898"/>
    <n v="1051"/>
    <n v="31"/>
    <n v="888"/>
    <n v="163"/>
    <n v="7"/>
    <n v="0"/>
    <n v="0"/>
    <n v="114"/>
    <x v="28"/>
  </r>
  <r>
    <s v="30"/>
    <s v="May-22"/>
    <x v="29"/>
    <x v="4"/>
    <x v="29"/>
    <n v="7405"/>
    <x v="19"/>
    <n v="54969"/>
    <n v="54677"/>
    <n v="292"/>
    <n v="62499"/>
    <n v="62082"/>
    <n v="417"/>
    <n v="0"/>
    <n v="293"/>
    <n v="124"/>
    <n v="1"/>
    <n v="0"/>
    <n v="0"/>
    <n v="116"/>
    <x v="29"/>
  </r>
  <r>
    <s v="31"/>
    <s v="May-22"/>
    <x v="30"/>
    <x v="2"/>
    <x v="30"/>
    <n v="2505"/>
    <x v="1"/>
    <n v="10424"/>
    <n v="10424"/>
    <n v="0"/>
    <n v="12930"/>
    <n v="12930"/>
    <n v="0"/>
    <n v="0"/>
    <n v="0"/>
    <n v="0"/>
    <n v="0"/>
    <n v="0"/>
    <n v="0"/>
    <n v="0"/>
    <x v="30"/>
  </r>
  <r>
    <s v="32"/>
    <s v="May-22"/>
    <x v="31"/>
    <x v="3"/>
    <x v="31"/>
    <n v="377"/>
    <x v="1"/>
    <n v="2903"/>
    <n v="2903"/>
    <n v="0"/>
    <n v="3280"/>
    <n v="3280"/>
    <n v="0"/>
    <n v="0"/>
    <n v="0"/>
    <n v="0"/>
    <n v="0"/>
    <n v="0"/>
    <n v="0"/>
    <n v="0"/>
    <x v="31"/>
  </r>
  <r>
    <s v="33"/>
    <s v="May-22"/>
    <x v="32"/>
    <x v="0"/>
    <x v="32"/>
    <n v="790"/>
    <x v="1"/>
    <n v="3559"/>
    <n v="3559"/>
    <n v="0"/>
    <n v="4349"/>
    <n v="4349"/>
    <n v="0"/>
    <n v="0"/>
    <n v="0"/>
    <n v="0"/>
    <n v="0"/>
    <n v="0"/>
    <n v="0"/>
    <n v="0"/>
    <x v="32"/>
  </r>
  <r>
    <s v="34"/>
    <s v="May-22"/>
    <x v="33"/>
    <x v="4"/>
    <x v="33"/>
    <n v="4084"/>
    <x v="20"/>
    <n v="86590"/>
    <n v="86623"/>
    <n v="-33"/>
    <n v="90831"/>
    <n v="90707"/>
    <n v="124"/>
    <n v="1"/>
    <n v="0"/>
    <n v="124"/>
    <n v="34"/>
    <n v="0"/>
    <n v="0"/>
    <n v="0"/>
    <x v="33"/>
  </r>
  <r>
    <s v="35"/>
    <s v="May-22"/>
    <x v="34"/>
    <x v="0"/>
    <x v="34"/>
    <n v="6223"/>
    <x v="21"/>
    <n v="33847"/>
    <n v="33850"/>
    <n v="-3"/>
    <n v="40072"/>
    <n v="40073"/>
    <n v="-1"/>
    <n v="0"/>
    <n v="0"/>
    <n v="0"/>
    <n v="2"/>
    <n v="0"/>
    <n v="1"/>
    <n v="0"/>
    <x v="34"/>
  </r>
  <r>
    <s v="36"/>
    <s v="May-22"/>
    <x v="35"/>
    <x v="0"/>
    <x v="35"/>
    <n v="122"/>
    <x v="22"/>
    <n v="2172"/>
    <n v="1890"/>
    <n v="282"/>
    <n v="2312"/>
    <n v="2012"/>
    <n v="300"/>
    <n v="0"/>
    <n v="283"/>
    <n v="18"/>
    <n v="0"/>
    <n v="0"/>
    <n v="1"/>
    <n v="0"/>
    <x v="35"/>
  </r>
  <r>
    <s v="37"/>
    <s v="May-22"/>
    <x v="36"/>
    <x v="4"/>
    <x v="36"/>
    <n v="5397"/>
    <x v="21"/>
    <n v="53289"/>
    <n v="52615"/>
    <n v="674"/>
    <n v="58688"/>
    <n v="58012"/>
    <n v="676"/>
    <n v="0"/>
    <n v="675"/>
    <n v="1"/>
    <n v="1"/>
    <n v="0"/>
    <n v="0"/>
    <n v="0"/>
    <x v="36"/>
  </r>
  <r>
    <s v="38"/>
    <s v="May-22"/>
    <x v="37"/>
    <x v="2"/>
    <x v="37"/>
    <n v="757"/>
    <x v="23"/>
    <n v="3233"/>
    <n v="3028"/>
    <n v="205"/>
    <n v="4108"/>
    <n v="3785"/>
    <n v="323"/>
    <n v="0"/>
    <n v="205"/>
    <n v="118"/>
    <n v="0"/>
    <n v="0"/>
    <n v="0"/>
    <n v="84"/>
    <x v="37"/>
  </r>
  <r>
    <s v="39"/>
    <s v="May-22"/>
    <x v="38"/>
    <x v="4"/>
    <x v="38"/>
    <n v="681"/>
    <x v="1"/>
    <n v="18850"/>
    <n v="18437"/>
    <n v="413"/>
    <n v="19531"/>
    <n v="19118"/>
    <n v="413"/>
    <n v="0"/>
    <n v="413"/>
    <n v="0"/>
    <n v="0"/>
    <n v="0"/>
    <n v="0"/>
    <n v="0"/>
    <x v="38"/>
  </r>
  <r>
    <s v="40"/>
    <s v="May-22"/>
    <x v="39"/>
    <x v="4"/>
    <x v="39"/>
    <n v="3623"/>
    <x v="8"/>
    <n v="67235"/>
    <n v="67231"/>
    <n v="4"/>
    <n v="70854"/>
    <n v="70854"/>
    <n v="0"/>
    <n v="6"/>
    <n v="0"/>
    <n v="0"/>
    <n v="2"/>
    <n v="0"/>
    <n v="0"/>
    <n v="0"/>
    <x v="39"/>
  </r>
  <r>
    <s v="41"/>
    <s v="May-22"/>
    <x v="40"/>
    <x v="3"/>
    <x v="40"/>
    <n v="818"/>
    <x v="1"/>
    <n v="4434"/>
    <n v="4434"/>
    <n v="0"/>
    <n v="5252"/>
    <n v="5252"/>
    <n v="0"/>
    <n v="0"/>
    <n v="0"/>
    <n v="0"/>
    <n v="0"/>
    <n v="0"/>
    <n v="0"/>
    <n v="0"/>
    <x v="40"/>
  </r>
  <r>
    <s v="42"/>
    <s v="May-22"/>
    <x v="41"/>
    <x v="2"/>
    <x v="41"/>
    <n v="485"/>
    <x v="24"/>
    <n v="6293"/>
    <n v="6283"/>
    <n v="10"/>
    <n v="6768"/>
    <n v="6768"/>
    <n v="0"/>
    <n v="10"/>
    <n v="0"/>
    <n v="0"/>
    <n v="0"/>
    <n v="0"/>
    <n v="0"/>
    <n v="0"/>
    <x v="41"/>
  </r>
  <r>
    <s v="43"/>
    <s v="May-22"/>
    <x v="42"/>
    <x v="2"/>
    <x v="42"/>
    <n v="3665"/>
    <x v="21"/>
    <n v="30678"/>
    <n v="30691"/>
    <n v="-13"/>
    <n v="34345"/>
    <n v="34356"/>
    <n v="-11"/>
    <n v="0"/>
    <n v="0"/>
    <n v="2"/>
    <n v="0"/>
    <n v="0"/>
    <n v="13"/>
    <n v="2"/>
    <x v="42"/>
  </r>
  <r>
    <s v="44"/>
    <s v="May-22"/>
    <x v="43"/>
    <x v="1"/>
    <x v="43"/>
    <n v="914"/>
    <x v="2"/>
    <n v="4473"/>
    <n v="4472"/>
    <n v="1"/>
    <n v="5386"/>
    <n v="5386"/>
    <n v="0"/>
    <n v="1"/>
    <n v="0"/>
    <n v="0"/>
    <n v="0"/>
    <n v="0"/>
    <n v="0"/>
    <n v="0"/>
    <x v="43"/>
  </r>
  <r>
    <s v="45"/>
    <s v="May-22"/>
    <x v="44"/>
    <x v="3"/>
    <x v="44"/>
    <n v="4115"/>
    <x v="25"/>
    <n v="20727"/>
    <n v="20686"/>
    <n v="41"/>
    <n v="24801"/>
    <n v="24801"/>
    <n v="0"/>
    <n v="41"/>
    <n v="0"/>
    <n v="0"/>
    <n v="0"/>
    <n v="0"/>
    <n v="0"/>
    <n v="0"/>
    <x v="44"/>
  </r>
  <r>
    <s v="46"/>
    <s v="May-22"/>
    <x v="45"/>
    <x v="0"/>
    <x v="45"/>
    <n v="9632"/>
    <x v="26"/>
    <n v="47975"/>
    <n v="47889"/>
    <n v="86"/>
    <n v="57521"/>
    <n v="57521"/>
    <n v="0"/>
    <n v="86"/>
    <n v="0"/>
    <n v="0"/>
    <n v="0"/>
    <n v="0"/>
    <n v="0"/>
    <n v="0"/>
    <x v="45"/>
  </r>
  <r>
    <s v="47"/>
    <s v="May-22"/>
    <x v="46"/>
    <x v="1"/>
    <x v="46"/>
    <n v="1213"/>
    <x v="24"/>
    <n v="11715"/>
    <n v="11705"/>
    <n v="10"/>
    <n v="12918"/>
    <n v="12918"/>
    <n v="0"/>
    <n v="10"/>
    <n v="0"/>
    <n v="0"/>
    <n v="0"/>
    <n v="0"/>
    <n v="0"/>
    <n v="0"/>
    <x v="46"/>
  </r>
  <r>
    <s v="48"/>
    <s v="May-22"/>
    <x v="47"/>
    <x v="1"/>
    <x v="47"/>
    <n v="3404"/>
    <x v="1"/>
    <n v="21164"/>
    <n v="21164"/>
    <n v="0"/>
    <n v="24568"/>
    <n v="24568"/>
    <n v="0"/>
    <n v="0"/>
    <n v="0"/>
    <n v="0"/>
    <n v="0"/>
    <n v="0"/>
    <n v="0"/>
    <n v="0"/>
    <x v="47"/>
  </r>
  <r>
    <s v="49"/>
    <s v="May-22"/>
    <x v="48"/>
    <x v="3"/>
    <x v="48"/>
    <n v="5163"/>
    <x v="11"/>
    <n v="18899"/>
    <n v="18583"/>
    <n v="316"/>
    <n v="24085"/>
    <n v="23746"/>
    <n v="339"/>
    <n v="0"/>
    <n v="316"/>
    <n v="23"/>
    <n v="0"/>
    <n v="0"/>
    <n v="0"/>
    <n v="17"/>
    <x v="48"/>
  </r>
  <r>
    <s v="50"/>
    <s v="May-22"/>
    <x v="49"/>
    <x v="4"/>
    <x v="49"/>
    <n v="2280"/>
    <x v="1"/>
    <n v="16802"/>
    <n v="16802"/>
    <n v="0"/>
    <n v="19082"/>
    <n v="19082"/>
    <n v="0"/>
    <n v="0"/>
    <n v="0"/>
    <n v="1"/>
    <n v="0"/>
    <n v="1"/>
    <n v="0"/>
    <n v="1"/>
    <x v="49"/>
  </r>
  <r>
    <s v="51"/>
    <s v="May-22"/>
    <x v="50"/>
    <x v="2"/>
    <x v="50"/>
    <n v="8539"/>
    <x v="27"/>
    <n v="40389"/>
    <n v="40225"/>
    <n v="164"/>
    <n v="48398"/>
    <n v="48764"/>
    <n v="-366"/>
    <n v="233"/>
    <n v="11"/>
    <n v="0"/>
    <n v="76"/>
    <n v="373"/>
    <n v="4"/>
    <n v="0"/>
    <x v="50"/>
  </r>
  <r>
    <s v="52"/>
    <s v="May-22"/>
    <x v="51"/>
    <x v="0"/>
    <x v="51"/>
    <n v="612"/>
    <x v="1"/>
    <n v="19535"/>
    <n v="19473"/>
    <n v="62"/>
    <n v="20147"/>
    <n v="20085"/>
    <n v="62"/>
    <n v="0"/>
    <n v="62"/>
    <n v="0"/>
    <n v="0"/>
    <n v="0"/>
    <n v="0"/>
    <n v="0"/>
    <x v="51"/>
  </r>
  <r>
    <s v="53"/>
    <s v="May-22"/>
    <x v="52"/>
    <x v="0"/>
    <x v="52"/>
    <n v="274"/>
    <x v="1"/>
    <n v="980"/>
    <n v="980"/>
    <n v="0"/>
    <n v="1254"/>
    <n v="1254"/>
    <n v="0"/>
    <n v="0"/>
    <n v="0"/>
    <n v="0"/>
    <n v="0"/>
    <n v="0"/>
    <n v="0"/>
    <n v="0"/>
    <x v="52"/>
  </r>
  <r>
    <s v="54"/>
    <s v="May-22"/>
    <x v="53"/>
    <x v="3"/>
    <x v="53"/>
    <n v="3908"/>
    <x v="28"/>
    <n v="27492"/>
    <n v="27541"/>
    <n v="-49"/>
    <n v="31449"/>
    <n v="31449"/>
    <n v="0"/>
    <n v="3"/>
    <n v="0"/>
    <n v="0"/>
    <n v="52"/>
    <n v="0"/>
    <n v="0"/>
    <n v="0"/>
    <x v="53"/>
  </r>
  <r>
    <s v="55"/>
    <s v="May-22"/>
    <x v="54"/>
    <x v="3"/>
    <x v="54"/>
    <n v="390"/>
    <x v="5"/>
    <n v="2911"/>
    <n v="2912"/>
    <n v="-1"/>
    <n v="3302"/>
    <n v="3302"/>
    <n v="0"/>
    <n v="0"/>
    <n v="0"/>
    <n v="0"/>
    <n v="1"/>
    <n v="0"/>
    <n v="0"/>
    <n v="0"/>
    <x v="54"/>
  </r>
  <r>
    <s v="56"/>
    <s v="May-22"/>
    <x v="55"/>
    <x v="4"/>
    <x v="55"/>
    <n v="3941"/>
    <x v="29"/>
    <n v="24464"/>
    <n v="24028"/>
    <n v="436"/>
    <n v="28443"/>
    <n v="27969"/>
    <n v="474"/>
    <n v="0"/>
    <n v="436"/>
    <n v="38"/>
    <n v="0"/>
    <n v="0"/>
    <n v="0"/>
    <n v="0"/>
    <x v="55"/>
  </r>
  <r>
    <s v="57"/>
    <s v="May-22"/>
    <x v="56"/>
    <x v="3"/>
    <x v="56"/>
    <n v="375"/>
    <x v="1"/>
    <n v="7503"/>
    <n v="7503"/>
    <n v="0"/>
    <n v="7878"/>
    <n v="7878"/>
    <n v="0"/>
    <n v="0"/>
    <n v="0"/>
    <n v="0"/>
    <n v="0"/>
    <n v="0"/>
    <n v="0"/>
    <n v="0"/>
    <x v="56"/>
  </r>
  <r>
    <s v="58"/>
    <s v="May-22"/>
    <x v="57"/>
    <x v="2"/>
    <x v="57"/>
    <n v="3917"/>
    <x v="2"/>
    <n v="21408"/>
    <n v="21407"/>
    <n v="1"/>
    <n v="25324"/>
    <n v="25324"/>
    <n v="0"/>
    <n v="12"/>
    <n v="0"/>
    <n v="0"/>
    <n v="11"/>
    <n v="0"/>
    <n v="0"/>
    <n v="0"/>
    <x v="5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">
  <r>
    <s v="1"/>
    <s v="May-22"/>
    <x v="0"/>
    <x v="0"/>
    <n v="3771"/>
    <n v="3977"/>
    <n v="-206"/>
    <n v="-5.179783756600453"/>
    <n v="73166"/>
    <n v="72926"/>
    <n v="240"/>
    <n v="0.32910073224912928"/>
    <n v="76937"/>
    <n v="76903"/>
    <n v="34"/>
    <n v="4.4211539211734263E-2"/>
    <n v="206"/>
    <n v="34"/>
    <n v="0"/>
    <n v="0"/>
    <n v="0"/>
    <n v="0"/>
    <n v="0"/>
    <n v="33178"/>
  </r>
  <r>
    <s v="2"/>
    <s v="May-22"/>
    <x v="1"/>
    <x v="1"/>
    <n v="228"/>
    <n v="228"/>
    <n v="0"/>
    <n v="0"/>
    <n v="2283"/>
    <n v="2283"/>
    <n v="0"/>
    <n v="0"/>
    <n v="2511"/>
    <n v="2511"/>
    <n v="0"/>
    <n v="0"/>
    <n v="0"/>
    <n v="0"/>
    <n v="0"/>
    <n v="0"/>
    <n v="0"/>
    <n v="0"/>
    <n v="0"/>
    <n v="414"/>
  </r>
  <r>
    <s v="3"/>
    <s v="May-22"/>
    <x v="2"/>
    <x v="1"/>
    <n v="38"/>
    <n v="38"/>
    <n v="0"/>
    <n v="0"/>
    <n v="345"/>
    <n v="345"/>
    <n v="0"/>
    <n v="0"/>
    <n v="383"/>
    <n v="383"/>
    <n v="0"/>
    <n v="0"/>
    <n v="0"/>
    <n v="0"/>
    <n v="0"/>
    <n v="0"/>
    <n v="0"/>
    <n v="0"/>
    <n v="0"/>
    <n v="47"/>
  </r>
  <r>
    <s v="4"/>
    <s v="May-22"/>
    <x v="3"/>
    <x v="1"/>
    <n v="1876"/>
    <n v="1877"/>
    <n v="-1"/>
    <n v="-5.3276505061267979E-2"/>
    <n v="22379"/>
    <n v="22377"/>
    <n v="2"/>
    <n v="8.9377485811324136E-3"/>
    <n v="24255"/>
    <n v="24254"/>
    <n v="1"/>
    <n v="4.1230312525768944E-3"/>
    <n v="2"/>
    <n v="1"/>
    <n v="0"/>
    <n v="1"/>
    <n v="0"/>
    <n v="0"/>
    <n v="0"/>
    <n v="1783"/>
  </r>
  <r>
    <s v="5"/>
    <s v="May-22"/>
    <x v="4"/>
    <x v="2"/>
    <n v="8395"/>
    <n v="8475"/>
    <n v="-80"/>
    <n v="-0.94395280235988199"/>
    <n v="56068"/>
    <n v="56025"/>
    <n v="43"/>
    <n v="7.675145024542615E-2"/>
    <n v="64463"/>
    <n v="64500"/>
    <n v="-37"/>
    <n v="-5.7364341085271317E-2"/>
    <n v="82"/>
    <n v="0"/>
    <n v="1"/>
    <n v="39"/>
    <n v="38"/>
    <n v="0"/>
    <n v="1"/>
    <n v="19789"/>
  </r>
  <r>
    <s v="6"/>
    <s v="May-22"/>
    <x v="5"/>
    <x v="3"/>
    <n v="675"/>
    <n v="675"/>
    <n v="0"/>
    <n v="0"/>
    <n v="5588"/>
    <n v="5588"/>
    <n v="0"/>
    <n v="0"/>
    <n v="6263"/>
    <n v="6263"/>
    <n v="0"/>
    <n v="0"/>
    <n v="1"/>
    <n v="0"/>
    <n v="0"/>
    <n v="1"/>
    <n v="0"/>
    <n v="0"/>
    <n v="0"/>
    <n v="870"/>
  </r>
  <r>
    <s v="7"/>
    <s v="May-22"/>
    <x v="6"/>
    <x v="1"/>
    <n v="1928"/>
    <n v="1968"/>
    <n v="-40"/>
    <n v="-2.0325203252032518"/>
    <n v="7934"/>
    <n v="7899"/>
    <n v="35"/>
    <n v="0.44309406253956196"/>
    <n v="9862"/>
    <n v="9867"/>
    <n v="-5"/>
    <n v="-5.0673963717441976E-2"/>
    <n v="40"/>
    <n v="0"/>
    <n v="0"/>
    <n v="1"/>
    <n v="1"/>
    <n v="4"/>
    <n v="0"/>
    <n v="1709"/>
  </r>
  <r>
    <s v="8"/>
    <s v="May-22"/>
    <x v="7"/>
    <x v="2"/>
    <n v="528"/>
    <n v="528"/>
    <n v="0"/>
    <n v="0"/>
    <n v="4446"/>
    <n v="4446"/>
    <n v="0"/>
    <n v="0"/>
    <n v="4974"/>
    <n v="4974"/>
    <n v="0"/>
    <n v="0"/>
    <n v="0"/>
    <n v="0"/>
    <n v="0"/>
    <n v="0"/>
    <n v="0"/>
    <n v="0"/>
    <n v="0"/>
    <n v="742"/>
  </r>
  <r>
    <s v="9"/>
    <s v="May-22"/>
    <x v="8"/>
    <x v="2"/>
    <n v="1010"/>
    <n v="1010"/>
    <n v="0"/>
    <n v="0"/>
    <n v="5922"/>
    <n v="5922"/>
    <n v="0"/>
    <n v="0"/>
    <n v="6932"/>
    <n v="6932"/>
    <n v="0"/>
    <n v="0"/>
    <n v="0"/>
    <n v="0"/>
    <n v="0"/>
    <n v="0"/>
    <n v="0"/>
    <n v="0"/>
    <n v="0"/>
    <n v="1027"/>
  </r>
  <r>
    <s v="10"/>
    <s v="May-22"/>
    <x v="9"/>
    <x v="4"/>
    <n v="5125"/>
    <n v="5124"/>
    <n v="1"/>
    <n v="1.95160031225605E-2"/>
    <n v="23376"/>
    <n v="23377"/>
    <n v="-1"/>
    <n v="-4.2777088591350468E-3"/>
    <n v="28501"/>
    <n v="28501"/>
    <n v="0"/>
    <n v="0"/>
    <n v="0"/>
    <n v="0"/>
    <n v="0"/>
    <n v="1"/>
    <n v="0"/>
    <n v="0"/>
    <n v="0"/>
    <n v="6825"/>
  </r>
  <r>
    <s v="11"/>
    <s v="May-22"/>
    <x v="10"/>
    <x v="2"/>
    <n v="967"/>
    <n v="967"/>
    <n v="0"/>
    <n v="0"/>
    <n v="9797"/>
    <n v="9797"/>
    <n v="0"/>
    <n v="0"/>
    <n v="10764"/>
    <n v="10764"/>
    <n v="0"/>
    <n v="0"/>
    <n v="0"/>
    <n v="0"/>
    <n v="0"/>
    <n v="0"/>
    <n v="0"/>
    <n v="0"/>
    <n v="0"/>
    <n v="456"/>
  </r>
  <r>
    <s v="12"/>
    <s v="May-22"/>
    <x v="11"/>
    <x v="3"/>
    <n v="976"/>
    <n v="976"/>
    <n v="0"/>
    <n v="0"/>
    <n v="3295"/>
    <n v="3295"/>
    <n v="0"/>
    <n v="0"/>
    <n v="4271"/>
    <n v="4271"/>
    <n v="0"/>
    <n v="0"/>
    <n v="0"/>
    <n v="0"/>
    <n v="0"/>
    <n v="0"/>
    <n v="0"/>
    <n v="0"/>
    <n v="0"/>
    <n v="1554"/>
  </r>
  <r>
    <s v="13"/>
    <s v="May-22"/>
    <x v="12"/>
    <x v="1"/>
    <n v="42"/>
    <n v="42"/>
    <n v="0"/>
    <n v="0"/>
    <n v="888"/>
    <n v="888"/>
    <n v="0"/>
    <n v="0"/>
    <n v="930"/>
    <n v="930"/>
    <n v="0"/>
    <n v="0"/>
    <n v="0"/>
    <n v="0"/>
    <n v="0"/>
    <n v="0"/>
    <n v="0"/>
    <n v="0"/>
    <n v="0"/>
    <n v="62"/>
  </r>
  <r>
    <s v="14"/>
    <s v="May-22"/>
    <x v="13"/>
    <x v="4"/>
    <n v="17241"/>
    <n v="17321"/>
    <n v="-80"/>
    <n v="-0.46186709774262458"/>
    <n v="104224"/>
    <n v="104107"/>
    <n v="117"/>
    <n v="0.11238437376929505"/>
    <n v="121471"/>
    <n v="121434"/>
    <n v="37"/>
    <n v="3.0469226081657527E-2"/>
    <n v="88"/>
    <n v="37"/>
    <n v="1"/>
    <n v="8"/>
    <n v="1"/>
    <n v="0"/>
    <n v="0"/>
    <n v="16649"/>
  </r>
  <r>
    <s v="15"/>
    <s v="May-22"/>
    <x v="14"/>
    <x v="2"/>
    <n v="615"/>
    <n v="611"/>
    <n v="4"/>
    <n v="0.65466448445171854"/>
    <n v="6721"/>
    <n v="6725"/>
    <n v="-4"/>
    <n v="-5.9479553903345729E-2"/>
    <n v="7336"/>
    <n v="7336"/>
    <n v="0"/>
    <n v="0"/>
    <n v="0"/>
    <n v="0"/>
    <n v="0"/>
    <n v="4"/>
    <n v="0"/>
    <n v="0"/>
    <n v="0"/>
    <n v="919"/>
  </r>
  <r>
    <s v="16"/>
    <s v="May-22"/>
    <x v="15"/>
    <x v="4"/>
    <n v="3671"/>
    <n v="3626"/>
    <n v="45"/>
    <n v="1.2410369553226697"/>
    <n v="30740"/>
    <n v="30016"/>
    <n v="724"/>
    <n v="2.4120469083155651"/>
    <n v="34411"/>
    <n v="33642"/>
    <n v="769"/>
    <n v="2.2858331847095892"/>
    <n v="0"/>
    <n v="724"/>
    <n v="45"/>
    <n v="0"/>
    <n v="0"/>
    <n v="0"/>
    <n v="6"/>
    <n v="5601"/>
  </r>
  <r>
    <s v="17"/>
    <s v="May-22"/>
    <x v="16"/>
    <x v="1"/>
    <n v="1021"/>
    <n v="1021"/>
    <n v="0"/>
    <n v="0"/>
    <n v="18831"/>
    <n v="18831"/>
    <n v="0"/>
    <n v="0"/>
    <n v="19852"/>
    <n v="19852"/>
    <n v="0"/>
    <n v="0"/>
    <n v="0"/>
    <n v="0"/>
    <n v="0"/>
    <n v="0"/>
    <n v="0"/>
    <n v="0"/>
    <n v="0"/>
    <n v="941"/>
  </r>
  <r>
    <s v="18"/>
    <s v="May-22"/>
    <x v="17"/>
    <x v="1"/>
    <n v="2398"/>
    <n v="2402"/>
    <n v="-4"/>
    <n v="-0.16652789342214822"/>
    <n v="22801"/>
    <n v="22793"/>
    <n v="8"/>
    <n v="3.5098495152020362E-2"/>
    <n v="25199"/>
    <n v="25195"/>
    <n v="4"/>
    <n v="1.5876165905933718E-2"/>
    <n v="22"/>
    <n v="4"/>
    <n v="0"/>
    <n v="18"/>
    <n v="0"/>
    <n v="0"/>
    <n v="0"/>
    <n v="3011"/>
  </r>
  <r>
    <s v="19"/>
    <s v="May-22"/>
    <x v="18"/>
    <x v="0"/>
    <n v="2113"/>
    <n v="2166"/>
    <n v="-53"/>
    <n v="-2.4469067405355491"/>
    <n v="26475"/>
    <n v="26475"/>
    <n v="0"/>
    <n v="0"/>
    <n v="28588"/>
    <n v="28641"/>
    <n v="-53"/>
    <n v="-0.18504940469955658"/>
    <n v="0"/>
    <n v="0"/>
    <n v="0"/>
    <n v="0"/>
    <n v="53"/>
    <n v="0"/>
    <n v="0"/>
    <n v="11879"/>
  </r>
  <r>
    <s v="20"/>
    <s v="May-22"/>
    <x v="19"/>
    <x v="2"/>
    <n v="4140"/>
    <n v="3754"/>
    <n v="386"/>
    <n v="10.282365476824721"/>
    <n v="10420"/>
    <n v="10235"/>
    <n v="185"/>
    <n v="1.8075232046897898"/>
    <n v="14560"/>
    <n v="13989"/>
    <n v="571"/>
    <n v="4.0817785402816495"/>
    <n v="8"/>
    <n v="195"/>
    <n v="376"/>
    <n v="18"/>
    <n v="0"/>
    <n v="0"/>
    <n v="371"/>
    <n v="6799"/>
  </r>
  <r>
    <s v="21"/>
    <s v="May-22"/>
    <x v="20"/>
    <x v="0"/>
    <n v="9824"/>
    <n v="9801"/>
    <n v="23"/>
    <n v="0.23466993163962863"/>
    <n v="71847"/>
    <n v="71502"/>
    <n v="345"/>
    <n v="0.48250398590249222"/>
    <n v="81673"/>
    <n v="81305"/>
    <n v="368"/>
    <n v="0.45261669024045259"/>
    <n v="10"/>
    <n v="335"/>
    <n v="33"/>
    <n v="0"/>
    <n v="0"/>
    <n v="0"/>
    <n v="0"/>
    <n v="32993"/>
  </r>
  <r>
    <s v="22"/>
    <s v="May-22"/>
    <x v="21"/>
    <x v="0"/>
    <n v="4279"/>
    <n v="4185"/>
    <n v="94"/>
    <n v="2.246117084826762"/>
    <n v="8125"/>
    <n v="7788"/>
    <n v="337"/>
    <n v="4.3271700051361073"/>
    <n v="12404"/>
    <n v="11973"/>
    <n v="431"/>
    <n v="3.5997661404827528"/>
    <n v="0"/>
    <n v="337"/>
    <n v="94"/>
    <n v="0"/>
    <n v="0"/>
    <n v="0"/>
    <n v="94"/>
    <n v="4559"/>
  </r>
  <r>
    <s v="23"/>
    <s v="May-22"/>
    <x v="22"/>
    <x v="0"/>
    <n v="4377"/>
    <n v="3778"/>
    <n v="599"/>
    <n v="15.854949708840657"/>
    <n v="13094"/>
    <n v="13347"/>
    <n v="-253"/>
    <n v="-1.8955570540196298"/>
    <n v="17472"/>
    <n v="17126"/>
    <n v="346"/>
    <n v="2.0203199813149597"/>
    <n v="66"/>
    <n v="320"/>
    <n v="26"/>
    <n v="639"/>
    <n v="0"/>
    <n v="0"/>
    <n v="26"/>
    <n v="9312"/>
  </r>
  <r>
    <s v="24"/>
    <s v="May-22"/>
    <x v="23"/>
    <x v="3"/>
    <n v="1379"/>
    <n v="1358"/>
    <n v="21"/>
    <n v="1.5463917525773196"/>
    <n v="11797"/>
    <n v="11803"/>
    <n v="-6"/>
    <n v="-5.0834533593154277E-2"/>
    <n v="13176"/>
    <n v="13161"/>
    <n v="15"/>
    <n v="0.11397310234784591"/>
    <n v="0"/>
    <n v="5"/>
    <n v="10"/>
    <n v="11"/>
    <n v="0"/>
    <n v="0"/>
    <n v="0"/>
    <n v="784"/>
  </r>
  <r>
    <s v="25"/>
    <s v="May-22"/>
    <x v="24"/>
    <x v="1"/>
    <n v="1230"/>
    <n v="1243"/>
    <n v="-13"/>
    <n v="-1.0458567980691875"/>
    <n v="13220"/>
    <n v="13208"/>
    <n v="12"/>
    <n v="9.0854027861901887E-2"/>
    <n v="14450"/>
    <n v="14451"/>
    <n v="-1"/>
    <n v="-6.9199363365857027E-3"/>
    <n v="13"/>
    <n v="0"/>
    <n v="0"/>
    <n v="0"/>
    <n v="0"/>
    <n v="1"/>
    <n v="0"/>
    <n v="1359"/>
  </r>
  <r>
    <s v="26"/>
    <s v="May-22"/>
    <x v="25"/>
    <x v="1"/>
    <n v="2696"/>
    <n v="2696"/>
    <n v="0"/>
    <n v="0"/>
    <n v="33023"/>
    <n v="32999"/>
    <n v="24"/>
    <n v="7.2729476650807603E-2"/>
    <n v="35719"/>
    <n v="35695"/>
    <n v="24"/>
    <n v="6.7236307606107298E-2"/>
    <n v="0"/>
    <n v="24"/>
    <n v="0"/>
    <n v="0"/>
    <n v="0"/>
    <n v="0"/>
    <n v="0"/>
    <n v="2979"/>
  </r>
  <r>
    <s v="27"/>
    <s v="May-22"/>
    <x v="26"/>
    <x v="0"/>
    <n v="1494"/>
    <n v="1488"/>
    <n v="6"/>
    <n v="0.40322580645161288"/>
    <n v="24488"/>
    <n v="24218"/>
    <n v="270"/>
    <n v="1.1148732347840449"/>
    <n v="25982"/>
    <n v="25706"/>
    <n v="276"/>
    <n v="1.0736792966622579"/>
    <n v="0"/>
    <n v="270"/>
    <n v="6"/>
    <n v="0"/>
    <n v="0"/>
    <n v="0"/>
    <n v="6"/>
    <n v="2679"/>
  </r>
  <r>
    <s v="28"/>
    <s v="May-22"/>
    <x v="27"/>
    <x v="2"/>
    <n v="3765"/>
    <n v="3921"/>
    <n v="-156"/>
    <n v="-3.9785768936495791"/>
    <n v="25674"/>
    <n v="25519"/>
    <n v="155"/>
    <n v="0.60739057173086719"/>
    <n v="29439"/>
    <n v="29440"/>
    <n v="-1"/>
    <n v="-3.3967391304347825E-3"/>
    <n v="156"/>
    <n v="0"/>
    <n v="0"/>
    <n v="0"/>
    <n v="0"/>
    <n v="1"/>
    <n v="0"/>
    <n v="4635"/>
  </r>
  <r>
    <s v="29"/>
    <s v="May-22"/>
    <x v="28"/>
    <x v="1"/>
    <n v="16343"/>
    <n v="16204"/>
    <n v="139"/>
    <n v="0.85781288570723269"/>
    <n v="74601"/>
    <n v="73689"/>
    <n v="912"/>
    <n v="1.2376338395147173"/>
    <n v="90949"/>
    <n v="89898"/>
    <n v="1051"/>
    <n v="1.1691027609068054"/>
    <n v="31"/>
    <n v="888"/>
    <n v="163"/>
    <n v="7"/>
    <n v="0"/>
    <n v="0"/>
    <n v="114"/>
    <n v="18217"/>
  </r>
  <r>
    <s v="30"/>
    <s v="May-22"/>
    <x v="29"/>
    <x v="4"/>
    <n v="7530"/>
    <n v="7405"/>
    <n v="125"/>
    <n v="1.6880486158001351"/>
    <n v="54969"/>
    <n v="54677"/>
    <n v="292"/>
    <n v="0.53404539385847793"/>
    <n v="62499"/>
    <n v="62082"/>
    <n v="417"/>
    <n v="0.67169227795496278"/>
    <n v="0"/>
    <n v="293"/>
    <n v="124"/>
    <n v="1"/>
    <n v="0"/>
    <n v="0"/>
    <n v="116"/>
    <n v="7554"/>
  </r>
  <r>
    <s v="31"/>
    <s v="May-22"/>
    <x v="30"/>
    <x v="2"/>
    <n v="2505"/>
    <n v="2505"/>
    <n v="0"/>
    <n v="0"/>
    <n v="10424"/>
    <n v="10424"/>
    <n v="0"/>
    <n v="0"/>
    <n v="12930"/>
    <n v="12930"/>
    <n v="0"/>
    <n v="0"/>
    <n v="0"/>
    <n v="0"/>
    <n v="0"/>
    <n v="0"/>
    <n v="0"/>
    <n v="0"/>
    <n v="0"/>
    <n v="2261"/>
  </r>
  <r>
    <s v="32"/>
    <s v="May-22"/>
    <x v="31"/>
    <x v="3"/>
    <n v="377"/>
    <n v="377"/>
    <n v="0"/>
    <n v="0"/>
    <n v="2903"/>
    <n v="2903"/>
    <n v="0"/>
    <n v="0"/>
    <n v="3280"/>
    <n v="3280"/>
    <n v="0"/>
    <n v="0"/>
    <n v="0"/>
    <n v="0"/>
    <n v="0"/>
    <n v="0"/>
    <n v="0"/>
    <n v="0"/>
    <n v="0"/>
    <n v="345"/>
  </r>
  <r>
    <s v="33"/>
    <s v="May-22"/>
    <x v="32"/>
    <x v="0"/>
    <n v="790"/>
    <n v="790"/>
    <n v="0"/>
    <n v="0"/>
    <n v="3559"/>
    <n v="3559"/>
    <n v="0"/>
    <n v="0"/>
    <n v="4349"/>
    <n v="4349"/>
    <n v="0"/>
    <n v="0"/>
    <n v="0"/>
    <n v="0"/>
    <n v="0"/>
    <n v="0"/>
    <n v="0"/>
    <n v="0"/>
    <n v="0"/>
    <n v="626"/>
  </r>
  <r>
    <s v="34"/>
    <s v="May-22"/>
    <x v="33"/>
    <x v="4"/>
    <n v="4241"/>
    <n v="4084"/>
    <n v="157"/>
    <n v="3.844270323212537"/>
    <n v="86590"/>
    <n v="86623"/>
    <n v="-33"/>
    <n v="-3.8096117659282176E-2"/>
    <n v="90831"/>
    <n v="90707"/>
    <n v="124"/>
    <n v="0.13670389275359124"/>
    <n v="1"/>
    <n v="0"/>
    <n v="124"/>
    <n v="34"/>
    <n v="0"/>
    <n v="0"/>
    <n v="0"/>
    <n v="10508"/>
  </r>
  <r>
    <s v="35"/>
    <s v="May-22"/>
    <x v="34"/>
    <x v="0"/>
    <n v="6225"/>
    <n v="6223"/>
    <n v="2"/>
    <n v="3.2138839787883657E-2"/>
    <n v="33847"/>
    <n v="33850"/>
    <n v="-3"/>
    <n v="-8.8626292466765129E-3"/>
    <n v="40072"/>
    <n v="40073"/>
    <n v="-1"/>
    <n v="-2.4954458113942055E-3"/>
    <n v="0"/>
    <n v="0"/>
    <n v="0"/>
    <n v="2"/>
    <n v="0"/>
    <n v="1"/>
    <n v="0"/>
    <n v="7125"/>
  </r>
  <r>
    <s v="36"/>
    <s v="May-22"/>
    <x v="35"/>
    <x v="0"/>
    <n v="140"/>
    <n v="122"/>
    <n v="18"/>
    <n v="14.754098360655737"/>
    <n v="2172"/>
    <n v="1890"/>
    <n v="282"/>
    <n v="14.920634920634921"/>
    <n v="2312"/>
    <n v="2012"/>
    <n v="300"/>
    <n v="14.910536779324055"/>
    <n v="0"/>
    <n v="283"/>
    <n v="18"/>
    <n v="0"/>
    <n v="0"/>
    <n v="1"/>
    <n v="0"/>
    <n v="0"/>
  </r>
  <r>
    <s v="37"/>
    <s v="May-22"/>
    <x v="36"/>
    <x v="4"/>
    <n v="5399"/>
    <n v="5397"/>
    <n v="2"/>
    <n v="3.7057624606262739E-2"/>
    <n v="53289"/>
    <n v="52615"/>
    <n v="674"/>
    <n v="1.2810035161075739"/>
    <n v="58688"/>
    <n v="58012"/>
    <n v="676"/>
    <n v="1.1652761497621182"/>
    <n v="0"/>
    <n v="675"/>
    <n v="1"/>
    <n v="1"/>
    <n v="0"/>
    <n v="0"/>
    <n v="0"/>
    <n v="6096"/>
  </r>
  <r>
    <s v="38"/>
    <s v="May-22"/>
    <x v="37"/>
    <x v="2"/>
    <n v="875"/>
    <n v="757"/>
    <n v="118"/>
    <n v="15.587846763540291"/>
    <n v="3233"/>
    <n v="3028"/>
    <n v="205"/>
    <n v="6.7701453104359306"/>
    <n v="4108"/>
    <n v="3785"/>
    <n v="323"/>
    <n v="8.5336856010568027"/>
    <n v="0"/>
    <n v="205"/>
    <n v="118"/>
    <n v="0"/>
    <n v="0"/>
    <n v="0"/>
    <n v="84"/>
    <n v="878"/>
  </r>
  <r>
    <s v="39"/>
    <s v="May-22"/>
    <x v="38"/>
    <x v="4"/>
    <n v="681"/>
    <n v="681"/>
    <n v="0"/>
    <n v="0"/>
    <n v="18850"/>
    <n v="18437"/>
    <n v="413"/>
    <n v="2.2400607474100993"/>
    <n v="19531"/>
    <n v="19118"/>
    <n v="413"/>
    <n v="2.1602678104404225"/>
    <n v="0"/>
    <n v="413"/>
    <n v="0"/>
    <n v="0"/>
    <n v="0"/>
    <n v="0"/>
    <n v="0"/>
    <n v="520"/>
  </r>
  <r>
    <s v="40"/>
    <s v="May-22"/>
    <x v="39"/>
    <x v="4"/>
    <n v="3619"/>
    <n v="3623"/>
    <n v="-4"/>
    <n v="-0.11040574109853712"/>
    <n v="67235"/>
    <n v="67231"/>
    <n v="4"/>
    <n v="5.9496363284794219E-3"/>
    <n v="70854"/>
    <n v="70854"/>
    <n v="0"/>
    <n v="0"/>
    <n v="6"/>
    <n v="0"/>
    <n v="0"/>
    <n v="2"/>
    <n v="0"/>
    <n v="0"/>
    <n v="0"/>
    <n v="9145"/>
  </r>
  <r>
    <s v="41"/>
    <s v="May-22"/>
    <x v="40"/>
    <x v="3"/>
    <n v="818"/>
    <n v="818"/>
    <n v="0"/>
    <n v="0"/>
    <n v="4434"/>
    <n v="4434"/>
    <n v="0"/>
    <n v="0"/>
    <n v="5252"/>
    <n v="5252"/>
    <n v="0"/>
    <n v="0"/>
    <n v="0"/>
    <n v="0"/>
    <n v="0"/>
    <n v="0"/>
    <n v="0"/>
    <n v="0"/>
    <n v="0"/>
    <n v="441"/>
  </r>
  <r>
    <s v="42"/>
    <s v="May-22"/>
    <x v="41"/>
    <x v="2"/>
    <n v="475"/>
    <n v="485"/>
    <n v="-10"/>
    <n v="-2.0618556701030926"/>
    <n v="6293"/>
    <n v="6283"/>
    <n v="10"/>
    <n v="0.15915963711602737"/>
    <n v="6768"/>
    <n v="6768"/>
    <n v="0"/>
    <n v="0"/>
    <n v="10"/>
    <n v="0"/>
    <n v="0"/>
    <n v="0"/>
    <n v="0"/>
    <n v="0"/>
    <n v="0"/>
    <n v="553"/>
  </r>
  <r>
    <s v="43"/>
    <s v="May-22"/>
    <x v="42"/>
    <x v="2"/>
    <n v="3667"/>
    <n v="3665"/>
    <n v="2"/>
    <n v="5.4570259208731244E-2"/>
    <n v="30678"/>
    <n v="30691"/>
    <n v="-13"/>
    <n v="-4.2357694438108891E-2"/>
    <n v="34345"/>
    <n v="34356"/>
    <n v="-11"/>
    <n v="-3.2017697054371873E-2"/>
    <n v="0"/>
    <n v="0"/>
    <n v="2"/>
    <n v="0"/>
    <n v="0"/>
    <n v="13"/>
    <n v="2"/>
    <n v="9113"/>
  </r>
  <r>
    <s v="44"/>
    <s v="May-22"/>
    <x v="43"/>
    <x v="1"/>
    <n v="913"/>
    <n v="914"/>
    <n v="-1"/>
    <n v="-0.10940919037199125"/>
    <n v="4473"/>
    <n v="4472"/>
    <n v="1"/>
    <n v="2.2361359570661897E-2"/>
    <n v="5386"/>
    <n v="5386"/>
    <n v="0"/>
    <n v="0"/>
    <n v="1"/>
    <n v="0"/>
    <n v="0"/>
    <n v="0"/>
    <n v="0"/>
    <n v="0"/>
    <n v="0"/>
    <n v="816"/>
  </r>
  <r>
    <s v="45"/>
    <s v="May-22"/>
    <x v="44"/>
    <x v="3"/>
    <n v="4074"/>
    <n v="4115"/>
    <n v="-41"/>
    <n v="-0.99635479951397321"/>
    <n v="20727"/>
    <n v="20686"/>
    <n v="41"/>
    <n v="0.19820168229720581"/>
    <n v="24801"/>
    <n v="24801"/>
    <n v="0"/>
    <n v="0"/>
    <n v="41"/>
    <n v="0"/>
    <n v="0"/>
    <n v="0"/>
    <n v="0"/>
    <n v="0"/>
    <n v="0"/>
    <n v="5391"/>
  </r>
  <r>
    <s v="46"/>
    <s v="May-22"/>
    <x v="45"/>
    <x v="0"/>
    <n v="9546"/>
    <n v="9632"/>
    <n v="-86"/>
    <n v="-0.89285714285714279"/>
    <n v="47975"/>
    <n v="47889"/>
    <n v="86"/>
    <n v="0.17958194992587023"/>
    <n v="57521"/>
    <n v="57521"/>
    <n v="0"/>
    <n v="0"/>
    <n v="86"/>
    <n v="0"/>
    <n v="0"/>
    <n v="0"/>
    <n v="0"/>
    <n v="0"/>
    <n v="0"/>
    <n v="21603"/>
  </r>
  <r>
    <s v="47"/>
    <s v="May-22"/>
    <x v="46"/>
    <x v="1"/>
    <n v="1203"/>
    <n v="1213"/>
    <n v="-10"/>
    <n v="-0.82440230832646322"/>
    <n v="11715"/>
    <n v="11705"/>
    <n v="10"/>
    <n v="8.5433575395130287E-2"/>
    <n v="12918"/>
    <n v="12918"/>
    <n v="0"/>
    <n v="0"/>
    <n v="10"/>
    <n v="0"/>
    <n v="0"/>
    <n v="0"/>
    <n v="0"/>
    <n v="0"/>
    <n v="0"/>
    <n v="1461"/>
  </r>
  <r>
    <s v="48"/>
    <s v="May-22"/>
    <x v="47"/>
    <x v="1"/>
    <n v="3404"/>
    <n v="3404"/>
    <n v="0"/>
    <n v="0"/>
    <n v="21164"/>
    <n v="21164"/>
    <n v="0"/>
    <n v="0"/>
    <n v="24568"/>
    <n v="24568"/>
    <n v="0"/>
    <n v="0"/>
    <n v="0"/>
    <n v="0"/>
    <n v="0"/>
    <n v="0"/>
    <n v="0"/>
    <n v="0"/>
    <n v="0"/>
    <n v="4398"/>
  </r>
  <r>
    <s v="49"/>
    <s v="May-22"/>
    <x v="48"/>
    <x v="3"/>
    <n v="5186"/>
    <n v="5163"/>
    <n v="23"/>
    <n v="0.44547743559945768"/>
    <n v="18899"/>
    <n v="18583"/>
    <n v="316"/>
    <n v="1.7004789323575311"/>
    <n v="24085"/>
    <n v="23746"/>
    <n v="339"/>
    <n v="1.4276088604396531"/>
    <n v="0"/>
    <n v="316"/>
    <n v="23"/>
    <n v="0"/>
    <n v="0"/>
    <n v="0"/>
    <n v="17"/>
    <n v="4490"/>
  </r>
  <r>
    <s v="50"/>
    <s v="May-22"/>
    <x v="49"/>
    <x v="4"/>
    <n v="2280"/>
    <n v="2280"/>
    <n v="0"/>
    <n v="0"/>
    <n v="16802"/>
    <n v="16802"/>
    <n v="0"/>
    <n v="0"/>
    <n v="19082"/>
    <n v="19082"/>
    <n v="0"/>
    <n v="0"/>
    <n v="0"/>
    <n v="0"/>
    <n v="1"/>
    <n v="0"/>
    <n v="1"/>
    <n v="0"/>
    <n v="1"/>
    <n v="1725"/>
  </r>
  <r>
    <s v="51"/>
    <s v="May-22"/>
    <x v="50"/>
    <x v="2"/>
    <n v="8009"/>
    <n v="8539"/>
    <n v="-530"/>
    <n v="-6.2068157863918492"/>
    <n v="40389"/>
    <n v="40225"/>
    <n v="164"/>
    <n v="0.40770665009322565"/>
    <n v="48398"/>
    <n v="48764"/>
    <n v="-366"/>
    <n v="-0.75055368714625537"/>
    <n v="233"/>
    <n v="11"/>
    <n v="0"/>
    <n v="76"/>
    <n v="373"/>
    <n v="4"/>
    <n v="0"/>
    <n v="10166"/>
  </r>
  <r>
    <s v="52"/>
    <s v="May-22"/>
    <x v="51"/>
    <x v="0"/>
    <n v="612"/>
    <n v="612"/>
    <n v="0"/>
    <n v="0"/>
    <n v="19535"/>
    <n v="19473"/>
    <n v="62"/>
    <n v="0.31838956503877164"/>
    <n v="20147"/>
    <n v="20085"/>
    <n v="62"/>
    <n v="0.30868807567836692"/>
    <n v="0"/>
    <n v="62"/>
    <n v="0"/>
    <n v="0"/>
    <n v="0"/>
    <n v="0"/>
    <n v="0"/>
    <n v="4917"/>
  </r>
  <r>
    <s v="53"/>
    <s v="May-22"/>
    <x v="52"/>
    <x v="0"/>
    <n v="274"/>
    <n v="274"/>
    <n v="0"/>
    <n v="0"/>
    <n v="980"/>
    <n v="980"/>
    <n v="0"/>
    <n v="0"/>
    <n v="1254"/>
    <n v="1254"/>
    <n v="0"/>
    <n v="0"/>
    <n v="0"/>
    <n v="0"/>
    <n v="0"/>
    <n v="0"/>
    <n v="0"/>
    <n v="0"/>
    <n v="0"/>
    <n v="91"/>
  </r>
  <r>
    <s v="54"/>
    <s v="May-22"/>
    <x v="53"/>
    <x v="3"/>
    <n v="3957"/>
    <n v="3908"/>
    <n v="49"/>
    <n v="1.2538382804503583"/>
    <n v="27492"/>
    <n v="27541"/>
    <n v="-49"/>
    <n v="-0.17791656076395193"/>
    <n v="31449"/>
    <n v="31449"/>
    <n v="0"/>
    <n v="0"/>
    <n v="3"/>
    <n v="0"/>
    <n v="0"/>
    <n v="52"/>
    <n v="0"/>
    <n v="0"/>
    <n v="0"/>
    <n v="3044"/>
  </r>
  <r>
    <s v="55"/>
    <s v="May-22"/>
    <x v="54"/>
    <x v="3"/>
    <n v="391"/>
    <n v="390"/>
    <n v="1"/>
    <n v="0.25641025641025639"/>
    <n v="2911"/>
    <n v="2912"/>
    <n v="-1"/>
    <n v="-3.4340659340659344E-2"/>
    <n v="3302"/>
    <n v="3302"/>
    <n v="0"/>
    <n v="0"/>
    <n v="0"/>
    <n v="0"/>
    <n v="0"/>
    <n v="1"/>
    <n v="0"/>
    <n v="0"/>
    <n v="0"/>
    <n v="351"/>
  </r>
  <r>
    <s v="56"/>
    <s v="May-22"/>
    <x v="55"/>
    <x v="4"/>
    <n v="3979"/>
    <n v="3941"/>
    <n v="38"/>
    <n v="0.96422227860948995"/>
    <n v="24464"/>
    <n v="24028"/>
    <n v="436"/>
    <n v="1.8145496920259696"/>
    <n v="28443"/>
    <n v="27969"/>
    <n v="474"/>
    <n v="1.6947334548964927"/>
    <n v="0"/>
    <n v="436"/>
    <n v="38"/>
    <n v="0"/>
    <n v="0"/>
    <n v="0"/>
    <n v="0"/>
    <n v="4802"/>
  </r>
  <r>
    <s v="57"/>
    <s v="May-22"/>
    <x v="56"/>
    <x v="3"/>
    <n v="375"/>
    <n v="375"/>
    <n v="0"/>
    <n v="0"/>
    <n v="7503"/>
    <n v="7503"/>
    <n v="0"/>
    <n v="0"/>
    <n v="7878"/>
    <n v="7878"/>
    <n v="0"/>
    <n v="0"/>
    <n v="0"/>
    <n v="0"/>
    <n v="0"/>
    <n v="0"/>
    <n v="0"/>
    <n v="0"/>
    <n v="0"/>
    <n v="284"/>
  </r>
  <r>
    <s v="58"/>
    <s v="May-22"/>
    <x v="57"/>
    <x v="2"/>
    <n v="3916"/>
    <n v="3917"/>
    <n v="-1"/>
    <n v="-2.5529742149604292E-2"/>
    <n v="21408"/>
    <n v="21407"/>
    <n v="1"/>
    <n v="4.6713691783061614E-3"/>
    <n v="25324"/>
    <n v="25324"/>
    <n v="0"/>
    <n v="0"/>
    <n v="12"/>
    <n v="0"/>
    <n v="0"/>
    <n v="11"/>
    <n v="0"/>
    <n v="0"/>
    <n v="0"/>
    <n v="5986"/>
  </r>
  <r>
    <m/>
    <m/>
    <x v="58"/>
    <x v="5"/>
    <m/>
    <m/>
    <m/>
    <m/>
    <m/>
    <m/>
    <m/>
    <m/>
    <m/>
    <m/>
    <m/>
    <m/>
    <m/>
    <m/>
    <m/>
    <m/>
    <m/>
    <m/>
    <m/>
    <m/>
  </r>
  <r>
    <m/>
    <m/>
    <x v="58"/>
    <x v="5"/>
    <m/>
    <m/>
    <m/>
    <m/>
    <m/>
    <m/>
    <m/>
    <m/>
    <m/>
    <m/>
    <m/>
    <m/>
    <m/>
    <m/>
    <m/>
    <m/>
    <m/>
    <m/>
    <m/>
    <m/>
  </r>
  <r>
    <m/>
    <m/>
    <x v="58"/>
    <x v="5"/>
    <m/>
    <m/>
    <m/>
    <m/>
    <m/>
    <m/>
    <m/>
    <m/>
    <m/>
    <m/>
    <m/>
    <m/>
    <m/>
    <m/>
    <m/>
    <m/>
    <m/>
    <m/>
    <m/>
    <m/>
  </r>
  <r>
    <m/>
    <m/>
    <x v="58"/>
    <x v="5"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">
  <r>
    <s v="1"/>
    <s v="May-22"/>
    <x v="0"/>
    <x v="0"/>
    <n v="3771"/>
    <n v="3977"/>
    <n v="-206"/>
    <n v="-5.179783756600453"/>
    <n v="73166"/>
    <n v="72926"/>
    <n v="240"/>
    <n v="0.32910073224912928"/>
    <n v="76937"/>
    <n v="76903"/>
    <n v="34"/>
    <n v="4.4211539211734263E-2"/>
    <n v="206"/>
    <n v="34"/>
    <n v="0"/>
    <n v="0"/>
    <n v="0"/>
    <n v="0"/>
    <n v="0"/>
    <n v="33178"/>
  </r>
  <r>
    <s v="2"/>
    <s v="May-22"/>
    <x v="1"/>
    <x v="1"/>
    <n v="228"/>
    <n v="228"/>
    <n v="0"/>
    <n v="0"/>
    <n v="2283"/>
    <n v="2283"/>
    <n v="0"/>
    <n v="0"/>
    <n v="2511"/>
    <n v="2511"/>
    <n v="0"/>
    <n v="0"/>
    <n v="0"/>
    <n v="0"/>
    <n v="0"/>
    <n v="0"/>
    <n v="0"/>
    <n v="0"/>
    <n v="0"/>
    <n v="414"/>
  </r>
  <r>
    <s v="3"/>
    <s v="May-22"/>
    <x v="2"/>
    <x v="1"/>
    <n v="38"/>
    <n v="38"/>
    <n v="0"/>
    <n v="0"/>
    <n v="345"/>
    <n v="345"/>
    <n v="0"/>
    <n v="0"/>
    <n v="383"/>
    <n v="383"/>
    <n v="0"/>
    <n v="0"/>
    <n v="0"/>
    <n v="0"/>
    <n v="0"/>
    <n v="0"/>
    <n v="0"/>
    <n v="0"/>
    <n v="0"/>
    <n v="47"/>
  </r>
  <r>
    <s v="4"/>
    <s v="May-22"/>
    <x v="3"/>
    <x v="1"/>
    <n v="1876"/>
    <n v="1877"/>
    <n v="-1"/>
    <n v="-5.3276505061267979E-2"/>
    <n v="22379"/>
    <n v="22377"/>
    <n v="2"/>
    <n v="8.9377485811324136E-3"/>
    <n v="24255"/>
    <n v="24254"/>
    <n v="1"/>
    <n v="4.1230312525768944E-3"/>
    <n v="2"/>
    <n v="1"/>
    <n v="0"/>
    <n v="1"/>
    <n v="0"/>
    <n v="0"/>
    <n v="0"/>
    <n v="1783"/>
  </r>
  <r>
    <s v="5"/>
    <s v="May-22"/>
    <x v="4"/>
    <x v="2"/>
    <n v="8395"/>
    <n v="8475"/>
    <n v="-80"/>
    <n v="-0.94395280235988199"/>
    <n v="56068"/>
    <n v="56025"/>
    <n v="43"/>
    <n v="7.675145024542615E-2"/>
    <n v="64463"/>
    <n v="64500"/>
    <n v="-37"/>
    <n v="-5.7364341085271317E-2"/>
    <n v="82"/>
    <n v="0"/>
    <n v="1"/>
    <n v="39"/>
    <n v="38"/>
    <n v="0"/>
    <n v="1"/>
    <n v="19789"/>
  </r>
  <r>
    <s v="6"/>
    <s v="May-22"/>
    <x v="5"/>
    <x v="3"/>
    <n v="675"/>
    <n v="675"/>
    <n v="0"/>
    <n v="0"/>
    <n v="5588"/>
    <n v="5588"/>
    <n v="0"/>
    <n v="0"/>
    <n v="6263"/>
    <n v="6263"/>
    <n v="0"/>
    <n v="0"/>
    <n v="1"/>
    <n v="0"/>
    <n v="0"/>
    <n v="1"/>
    <n v="0"/>
    <n v="0"/>
    <n v="0"/>
    <n v="870"/>
  </r>
  <r>
    <s v="7"/>
    <s v="May-22"/>
    <x v="6"/>
    <x v="1"/>
    <n v="1928"/>
    <n v="1968"/>
    <n v="-40"/>
    <n v="-2.0325203252032518"/>
    <n v="7934"/>
    <n v="7899"/>
    <n v="35"/>
    <n v="0.44309406253956196"/>
    <n v="9862"/>
    <n v="9867"/>
    <n v="-5"/>
    <n v="-5.0673963717441976E-2"/>
    <n v="40"/>
    <n v="0"/>
    <n v="0"/>
    <n v="1"/>
    <n v="1"/>
    <n v="4"/>
    <n v="0"/>
    <n v="1709"/>
  </r>
  <r>
    <s v="8"/>
    <s v="May-22"/>
    <x v="7"/>
    <x v="2"/>
    <n v="528"/>
    <n v="528"/>
    <n v="0"/>
    <n v="0"/>
    <n v="4446"/>
    <n v="4446"/>
    <n v="0"/>
    <n v="0"/>
    <n v="4974"/>
    <n v="4974"/>
    <n v="0"/>
    <n v="0"/>
    <n v="0"/>
    <n v="0"/>
    <n v="0"/>
    <n v="0"/>
    <n v="0"/>
    <n v="0"/>
    <n v="0"/>
    <n v="742"/>
  </r>
  <r>
    <s v="9"/>
    <s v="May-22"/>
    <x v="8"/>
    <x v="2"/>
    <n v="1010"/>
    <n v="1010"/>
    <n v="0"/>
    <n v="0"/>
    <n v="5922"/>
    <n v="5922"/>
    <n v="0"/>
    <n v="0"/>
    <n v="6932"/>
    <n v="6932"/>
    <n v="0"/>
    <n v="0"/>
    <n v="0"/>
    <n v="0"/>
    <n v="0"/>
    <n v="0"/>
    <n v="0"/>
    <n v="0"/>
    <n v="0"/>
    <n v="1027"/>
  </r>
  <r>
    <s v="10"/>
    <s v="May-22"/>
    <x v="9"/>
    <x v="4"/>
    <n v="5125"/>
    <n v="5124"/>
    <n v="1"/>
    <n v="1.95160031225605E-2"/>
    <n v="23376"/>
    <n v="23377"/>
    <n v="-1"/>
    <n v="-4.2777088591350468E-3"/>
    <n v="28501"/>
    <n v="28501"/>
    <n v="0"/>
    <n v="0"/>
    <n v="0"/>
    <n v="0"/>
    <n v="0"/>
    <n v="1"/>
    <n v="0"/>
    <n v="0"/>
    <n v="0"/>
    <n v="6825"/>
  </r>
  <r>
    <s v="11"/>
    <s v="May-22"/>
    <x v="10"/>
    <x v="2"/>
    <n v="967"/>
    <n v="967"/>
    <n v="0"/>
    <n v="0"/>
    <n v="9797"/>
    <n v="9797"/>
    <n v="0"/>
    <n v="0"/>
    <n v="10764"/>
    <n v="10764"/>
    <n v="0"/>
    <n v="0"/>
    <n v="0"/>
    <n v="0"/>
    <n v="0"/>
    <n v="0"/>
    <n v="0"/>
    <n v="0"/>
    <n v="0"/>
    <n v="456"/>
  </r>
  <r>
    <s v="12"/>
    <s v="May-22"/>
    <x v="11"/>
    <x v="3"/>
    <n v="976"/>
    <n v="976"/>
    <n v="0"/>
    <n v="0"/>
    <n v="3295"/>
    <n v="3295"/>
    <n v="0"/>
    <n v="0"/>
    <n v="4271"/>
    <n v="4271"/>
    <n v="0"/>
    <n v="0"/>
    <n v="0"/>
    <n v="0"/>
    <n v="0"/>
    <n v="0"/>
    <n v="0"/>
    <n v="0"/>
    <n v="0"/>
    <n v="1554"/>
  </r>
  <r>
    <s v="13"/>
    <s v="May-22"/>
    <x v="12"/>
    <x v="1"/>
    <n v="42"/>
    <n v="42"/>
    <n v="0"/>
    <n v="0"/>
    <n v="888"/>
    <n v="888"/>
    <n v="0"/>
    <n v="0"/>
    <n v="930"/>
    <n v="930"/>
    <n v="0"/>
    <n v="0"/>
    <n v="0"/>
    <n v="0"/>
    <n v="0"/>
    <n v="0"/>
    <n v="0"/>
    <n v="0"/>
    <n v="0"/>
    <n v="62"/>
  </r>
  <r>
    <s v="14"/>
    <s v="May-22"/>
    <x v="13"/>
    <x v="4"/>
    <n v="17241"/>
    <n v="17321"/>
    <n v="-80"/>
    <n v="-0.46186709774262458"/>
    <n v="104224"/>
    <n v="104107"/>
    <n v="117"/>
    <n v="0.11238437376929505"/>
    <n v="121471"/>
    <n v="121434"/>
    <n v="37"/>
    <n v="3.0469226081657527E-2"/>
    <n v="88"/>
    <n v="37"/>
    <n v="1"/>
    <n v="8"/>
    <n v="1"/>
    <n v="0"/>
    <n v="0"/>
    <n v="16649"/>
  </r>
  <r>
    <s v="15"/>
    <s v="May-22"/>
    <x v="14"/>
    <x v="2"/>
    <n v="615"/>
    <n v="611"/>
    <n v="4"/>
    <n v="0.65466448445171854"/>
    <n v="6721"/>
    <n v="6725"/>
    <n v="-4"/>
    <n v="-5.9479553903345729E-2"/>
    <n v="7336"/>
    <n v="7336"/>
    <n v="0"/>
    <n v="0"/>
    <n v="0"/>
    <n v="0"/>
    <n v="0"/>
    <n v="4"/>
    <n v="0"/>
    <n v="0"/>
    <n v="0"/>
    <n v="919"/>
  </r>
  <r>
    <s v="16"/>
    <s v="May-22"/>
    <x v="15"/>
    <x v="4"/>
    <n v="3671"/>
    <n v="3626"/>
    <n v="45"/>
    <n v="1.2410369553226697"/>
    <n v="30740"/>
    <n v="30016"/>
    <n v="724"/>
    <n v="2.4120469083155651"/>
    <n v="34411"/>
    <n v="33642"/>
    <n v="769"/>
    <n v="2.2858331847095892"/>
    <n v="0"/>
    <n v="724"/>
    <n v="45"/>
    <n v="0"/>
    <n v="0"/>
    <n v="0"/>
    <n v="6"/>
    <n v="5601"/>
  </r>
  <r>
    <s v="17"/>
    <s v="May-22"/>
    <x v="16"/>
    <x v="1"/>
    <n v="1021"/>
    <n v="1021"/>
    <n v="0"/>
    <n v="0"/>
    <n v="18831"/>
    <n v="18831"/>
    <n v="0"/>
    <n v="0"/>
    <n v="19852"/>
    <n v="19852"/>
    <n v="0"/>
    <n v="0"/>
    <n v="0"/>
    <n v="0"/>
    <n v="0"/>
    <n v="0"/>
    <n v="0"/>
    <n v="0"/>
    <n v="0"/>
    <n v="941"/>
  </r>
  <r>
    <s v="18"/>
    <s v="May-22"/>
    <x v="17"/>
    <x v="1"/>
    <n v="2398"/>
    <n v="2402"/>
    <n v="-4"/>
    <n v="-0.16652789342214822"/>
    <n v="22801"/>
    <n v="22793"/>
    <n v="8"/>
    <n v="3.5098495152020362E-2"/>
    <n v="25199"/>
    <n v="25195"/>
    <n v="4"/>
    <n v="1.5876165905933718E-2"/>
    <n v="22"/>
    <n v="4"/>
    <n v="0"/>
    <n v="18"/>
    <n v="0"/>
    <n v="0"/>
    <n v="0"/>
    <n v="3011"/>
  </r>
  <r>
    <s v="19"/>
    <s v="May-22"/>
    <x v="18"/>
    <x v="0"/>
    <n v="2113"/>
    <n v="2166"/>
    <n v="-53"/>
    <n v="-2.4469067405355491"/>
    <n v="26475"/>
    <n v="26475"/>
    <n v="0"/>
    <n v="0"/>
    <n v="28588"/>
    <n v="28641"/>
    <n v="-53"/>
    <n v="-0.18504940469955658"/>
    <n v="0"/>
    <n v="0"/>
    <n v="0"/>
    <n v="0"/>
    <n v="53"/>
    <n v="0"/>
    <n v="0"/>
    <n v="11879"/>
  </r>
  <r>
    <s v="20"/>
    <s v="May-22"/>
    <x v="19"/>
    <x v="2"/>
    <n v="4140"/>
    <n v="3754"/>
    <n v="386"/>
    <n v="10.282365476824721"/>
    <n v="10420"/>
    <n v="10235"/>
    <n v="185"/>
    <n v="1.8075232046897898"/>
    <n v="14560"/>
    <n v="13989"/>
    <n v="571"/>
    <n v="4.0817785402816495"/>
    <n v="8"/>
    <n v="195"/>
    <n v="376"/>
    <n v="18"/>
    <n v="0"/>
    <n v="0"/>
    <n v="371"/>
    <n v="6799"/>
  </r>
  <r>
    <s v="21"/>
    <s v="May-22"/>
    <x v="20"/>
    <x v="0"/>
    <n v="9824"/>
    <n v="9801"/>
    <n v="23"/>
    <n v="0.23466993163962863"/>
    <n v="71847"/>
    <n v="71502"/>
    <n v="345"/>
    <n v="0.48250398590249222"/>
    <n v="81673"/>
    <n v="81305"/>
    <n v="368"/>
    <n v="0.45261669024045259"/>
    <n v="10"/>
    <n v="335"/>
    <n v="33"/>
    <n v="0"/>
    <n v="0"/>
    <n v="0"/>
    <n v="0"/>
    <n v="32993"/>
  </r>
  <r>
    <s v="22"/>
    <s v="May-22"/>
    <x v="21"/>
    <x v="0"/>
    <n v="4279"/>
    <n v="4185"/>
    <n v="94"/>
    <n v="2.246117084826762"/>
    <n v="8125"/>
    <n v="7788"/>
    <n v="337"/>
    <n v="4.3271700051361073"/>
    <n v="12404"/>
    <n v="11973"/>
    <n v="431"/>
    <n v="3.5997661404827528"/>
    <n v="0"/>
    <n v="337"/>
    <n v="94"/>
    <n v="0"/>
    <n v="0"/>
    <n v="0"/>
    <n v="94"/>
    <n v="4559"/>
  </r>
  <r>
    <s v="23"/>
    <s v="May-22"/>
    <x v="22"/>
    <x v="0"/>
    <n v="4377"/>
    <n v="3778"/>
    <n v="599"/>
    <n v="15.854949708840657"/>
    <n v="13094"/>
    <n v="13347"/>
    <n v="-253"/>
    <n v="-1.8955570540196298"/>
    <n v="17472"/>
    <n v="17126"/>
    <n v="346"/>
    <n v="2.0203199813149597"/>
    <n v="66"/>
    <n v="320"/>
    <n v="26"/>
    <n v="639"/>
    <n v="0"/>
    <n v="0"/>
    <n v="26"/>
    <n v="9312"/>
  </r>
  <r>
    <s v="24"/>
    <s v="May-22"/>
    <x v="23"/>
    <x v="3"/>
    <n v="1379"/>
    <n v="1358"/>
    <n v="21"/>
    <n v="1.5463917525773196"/>
    <n v="11797"/>
    <n v="11803"/>
    <n v="-6"/>
    <n v="-5.0834533593154277E-2"/>
    <n v="13176"/>
    <n v="13161"/>
    <n v="15"/>
    <n v="0.11397310234784591"/>
    <n v="0"/>
    <n v="5"/>
    <n v="10"/>
    <n v="11"/>
    <n v="0"/>
    <n v="0"/>
    <n v="0"/>
    <n v="784"/>
  </r>
  <r>
    <s v="25"/>
    <s v="May-22"/>
    <x v="24"/>
    <x v="1"/>
    <n v="1230"/>
    <n v="1243"/>
    <n v="-13"/>
    <n v="-1.0458567980691875"/>
    <n v="13220"/>
    <n v="13208"/>
    <n v="12"/>
    <n v="9.0854027861901887E-2"/>
    <n v="14450"/>
    <n v="14451"/>
    <n v="-1"/>
    <n v="-6.9199363365857027E-3"/>
    <n v="13"/>
    <n v="0"/>
    <n v="0"/>
    <n v="0"/>
    <n v="0"/>
    <n v="1"/>
    <n v="0"/>
    <n v="1359"/>
  </r>
  <r>
    <s v="26"/>
    <s v="May-22"/>
    <x v="25"/>
    <x v="1"/>
    <n v="2696"/>
    <n v="2696"/>
    <n v="0"/>
    <n v="0"/>
    <n v="33023"/>
    <n v="32999"/>
    <n v="24"/>
    <n v="7.2729476650807603E-2"/>
    <n v="35719"/>
    <n v="35695"/>
    <n v="24"/>
    <n v="6.7236307606107298E-2"/>
    <n v="0"/>
    <n v="24"/>
    <n v="0"/>
    <n v="0"/>
    <n v="0"/>
    <n v="0"/>
    <n v="0"/>
    <n v="2979"/>
  </r>
  <r>
    <s v="27"/>
    <s v="May-22"/>
    <x v="26"/>
    <x v="0"/>
    <n v="1494"/>
    <n v="1488"/>
    <n v="6"/>
    <n v="0.40322580645161288"/>
    <n v="24488"/>
    <n v="24218"/>
    <n v="270"/>
    <n v="1.1148732347840449"/>
    <n v="25982"/>
    <n v="25706"/>
    <n v="276"/>
    <n v="1.0736792966622579"/>
    <n v="0"/>
    <n v="270"/>
    <n v="6"/>
    <n v="0"/>
    <n v="0"/>
    <n v="0"/>
    <n v="6"/>
    <n v="2679"/>
  </r>
  <r>
    <s v="28"/>
    <s v="May-22"/>
    <x v="27"/>
    <x v="2"/>
    <n v="3765"/>
    <n v="3921"/>
    <n v="-156"/>
    <n v="-3.9785768936495791"/>
    <n v="25674"/>
    <n v="25519"/>
    <n v="155"/>
    <n v="0.60739057173086719"/>
    <n v="29439"/>
    <n v="29440"/>
    <n v="-1"/>
    <n v="-3.3967391304347825E-3"/>
    <n v="156"/>
    <n v="0"/>
    <n v="0"/>
    <n v="0"/>
    <n v="0"/>
    <n v="1"/>
    <n v="0"/>
    <n v="4635"/>
  </r>
  <r>
    <s v="29"/>
    <s v="May-22"/>
    <x v="28"/>
    <x v="1"/>
    <n v="16343"/>
    <n v="16204"/>
    <n v="139"/>
    <n v="0.85781288570723269"/>
    <n v="74601"/>
    <n v="73689"/>
    <n v="912"/>
    <n v="1.2376338395147173"/>
    <n v="90949"/>
    <n v="89898"/>
    <n v="1051"/>
    <n v="1.1691027609068054"/>
    <n v="31"/>
    <n v="888"/>
    <n v="163"/>
    <n v="7"/>
    <n v="0"/>
    <n v="0"/>
    <n v="114"/>
    <n v="18217"/>
  </r>
  <r>
    <s v="30"/>
    <s v="May-22"/>
    <x v="29"/>
    <x v="4"/>
    <n v="7530"/>
    <n v="7405"/>
    <n v="125"/>
    <n v="1.6880486158001351"/>
    <n v="54969"/>
    <n v="54677"/>
    <n v="292"/>
    <n v="0.53404539385847793"/>
    <n v="62499"/>
    <n v="62082"/>
    <n v="417"/>
    <n v="0.67169227795496278"/>
    <n v="0"/>
    <n v="293"/>
    <n v="124"/>
    <n v="1"/>
    <n v="0"/>
    <n v="0"/>
    <n v="116"/>
    <n v="7554"/>
  </r>
  <r>
    <s v="31"/>
    <s v="May-22"/>
    <x v="30"/>
    <x v="2"/>
    <n v="2505"/>
    <n v="2505"/>
    <n v="0"/>
    <n v="0"/>
    <n v="10424"/>
    <n v="10424"/>
    <n v="0"/>
    <n v="0"/>
    <n v="12930"/>
    <n v="12930"/>
    <n v="0"/>
    <n v="0"/>
    <n v="0"/>
    <n v="0"/>
    <n v="0"/>
    <n v="0"/>
    <n v="0"/>
    <n v="0"/>
    <n v="0"/>
    <n v="2261"/>
  </r>
  <r>
    <s v="32"/>
    <s v="May-22"/>
    <x v="31"/>
    <x v="3"/>
    <n v="377"/>
    <n v="377"/>
    <n v="0"/>
    <n v="0"/>
    <n v="2903"/>
    <n v="2903"/>
    <n v="0"/>
    <n v="0"/>
    <n v="3280"/>
    <n v="3280"/>
    <n v="0"/>
    <n v="0"/>
    <n v="0"/>
    <n v="0"/>
    <n v="0"/>
    <n v="0"/>
    <n v="0"/>
    <n v="0"/>
    <n v="0"/>
    <n v="345"/>
  </r>
  <r>
    <s v="33"/>
    <s v="May-22"/>
    <x v="32"/>
    <x v="0"/>
    <n v="790"/>
    <n v="790"/>
    <n v="0"/>
    <n v="0"/>
    <n v="3559"/>
    <n v="3559"/>
    <n v="0"/>
    <n v="0"/>
    <n v="4349"/>
    <n v="4349"/>
    <n v="0"/>
    <n v="0"/>
    <n v="0"/>
    <n v="0"/>
    <n v="0"/>
    <n v="0"/>
    <n v="0"/>
    <n v="0"/>
    <n v="0"/>
    <n v="626"/>
  </r>
  <r>
    <s v="34"/>
    <s v="May-22"/>
    <x v="33"/>
    <x v="4"/>
    <n v="4241"/>
    <n v="4084"/>
    <n v="157"/>
    <n v="3.844270323212537"/>
    <n v="86590"/>
    <n v="86623"/>
    <n v="-33"/>
    <n v="-3.8096117659282176E-2"/>
    <n v="90831"/>
    <n v="90707"/>
    <n v="124"/>
    <n v="0.13670389275359124"/>
    <n v="1"/>
    <n v="0"/>
    <n v="124"/>
    <n v="34"/>
    <n v="0"/>
    <n v="0"/>
    <n v="0"/>
    <n v="10508"/>
  </r>
  <r>
    <s v="35"/>
    <s v="May-22"/>
    <x v="34"/>
    <x v="0"/>
    <n v="6225"/>
    <n v="6223"/>
    <n v="2"/>
    <n v="3.2138839787883657E-2"/>
    <n v="33847"/>
    <n v="33850"/>
    <n v="-3"/>
    <n v="-8.8626292466765129E-3"/>
    <n v="40072"/>
    <n v="40073"/>
    <n v="-1"/>
    <n v="-2.4954458113942055E-3"/>
    <n v="0"/>
    <n v="0"/>
    <n v="0"/>
    <n v="2"/>
    <n v="0"/>
    <n v="1"/>
    <n v="0"/>
    <n v="7125"/>
  </r>
  <r>
    <s v="36"/>
    <s v="May-22"/>
    <x v="35"/>
    <x v="0"/>
    <n v="140"/>
    <n v="122"/>
    <n v="18"/>
    <n v="14.754098360655737"/>
    <n v="2172"/>
    <n v="1890"/>
    <n v="282"/>
    <n v="14.920634920634921"/>
    <n v="2312"/>
    <n v="2012"/>
    <n v="300"/>
    <n v="14.910536779324055"/>
    <n v="0"/>
    <n v="283"/>
    <n v="18"/>
    <n v="0"/>
    <n v="0"/>
    <n v="1"/>
    <n v="0"/>
    <n v="0"/>
  </r>
  <r>
    <s v="37"/>
    <s v="May-22"/>
    <x v="36"/>
    <x v="4"/>
    <n v="5399"/>
    <n v="5397"/>
    <n v="2"/>
    <n v="3.7057624606262739E-2"/>
    <n v="53289"/>
    <n v="52615"/>
    <n v="674"/>
    <n v="1.2810035161075739"/>
    <n v="58688"/>
    <n v="58012"/>
    <n v="676"/>
    <n v="1.1652761497621182"/>
    <n v="0"/>
    <n v="675"/>
    <n v="1"/>
    <n v="1"/>
    <n v="0"/>
    <n v="0"/>
    <n v="0"/>
    <n v="6096"/>
  </r>
  <r>
    <s v="38"/>
    <s v="May-22"/>
    <x v="37"/>
    <x v="2"/>
    <n v="875"/>
    <n v="757"/>
    <n v="118"/>
    <n v="15.587846763540291"/>
    <n v="3233"/>
    <n v="3028"/>
    <n v="205"/>
    <n v="6.7701453104359306"/>
    <n v="4108"/>
    <n v="3785"/>
    <n v="323"/>
    <n v="8.5336856010568027"/>
    <n v="0"/>
    <n v="205"/>
    <n v="118"/>
    <n v="0"/>
    <n v="0"/>
    <n v="0"/>
    <n v="84"/>
    <n v="878"/>
  </r>
  <r>
    <s v="39"/>
    <s v="May-22"/>
    <x v="38"/>
    <x v="4"/>
    <n v="681"/>
    <n v="681"/>
    <n v="0"/>
    <n v="0"/>
    <n v="18850"/>
    <n v="18437"/>
    <n v="413"/>
    <n v="2.2400607474100993"/>
    <n v="19531"/>
    <n v="19118"/>
    <n v="413"/>
    <n v="2.1602678104404225"/>
    <n v="0"/>
    <n v="413"/>
    <n v="0"/>
    <n v="0"/>
    <n v="0"/>
    <n v="0"/>
    <n v="0"/>
    <n v="520"/>
  </r>
  <r>
    <s v="40"/>
    <s v="May-22"/>
    <x v="39"/>
    <x v="4"/>
    <n v="3619"/>
    <n v="3623"/>
    <n v="-4"/>
    <n v="-0.11040574109853712"/>
    <n v="67235"/>
    <n v="67231"/>
    <n v="4"/>
    <n v="5.9496363284794219E-3"/>
    <n v="70854"/>
    <n v="70854"/>
    <n v="0"/>
    <n v="0"/>
    <n v="6"/>
    <n v="0"/>
    <n v="0"/>
    <n v="2"/>
    <n v="0"/>
    <n v="0"/>
    <n v="0"/>
    <n v="9145"/>
  </r>
  <r>
    <s v="41"/>
    <s v="May-22"/>
    <x v="40"/>
    <x v="3"/>
    <n v="818"/>
    <n v="818"/>
    <n v="0"/>
    <n v="0"/>
    <n v="4434"/>
    <n v="4434"/>
    <n v="0"/>
    <n v="0"/>
    <n v="5252"/>
    <n v="5252"/>
    <n v="0"/>
    <n v="0"/>
    <n v="0"/>
    <n v="0"/>
    <n v="0"/>
    <n v="0"/>
    <n v="0"/>
    <n v="0"/>
    <n v="0"/>
    <n v="441"/>
  </r>
  <r>
    <s v="42"/>
    <s v="May-22"/>
    <x v="41"/>
    <x v="2"/>
    <n v="475"/>
    <n v="485"/>
    <n v="-10"/>
    <n v="-2.0618556701030926"/>
    <n v="6293"/>
    <n v="6283"/>
    <n v="10"/>
    <n v="0.15915963711602737"/>
    <n v="6768"/>
    <n v="6768"/>
    <n v="0"/>
    <n v="0"/>
    <n v="10"/>
    <n v="0"/>
    <n v="0"/>
    <n v="0"/>
    <n v="0"/>
    <n v="0"/>
    <n v="0"/>
    <n v="553"/>
  </r>
  <r>
    <s v="43"/>
    <s v="May-22"/>
    <x v="42"/>
    <x v="2"/>
    <n v="3667"/>
    <n v="3665"/>
    <n v="2"/>
    <n v="5.4570259208731244E-2"/>
    <n v="30678"/>
    <n v="30691"/>
    <n v="-13"/>
    <n v="-4.2357694438108891E-2"/>
    <n v="34345"/>
    <n v="34356"/>
    <n v="-11"/>
    <n v="-3.2017697054371873E-2"/>
    <n v="0"/>
    <n v="0"/>
    <n v="2"/>
    <n v="0"/>
    <n v="0"/>
    <n v="13"/>
    <n v="2"/>
    <n v="9113"/>
  </r>
  <r>
    <s v="44"/>
    <s v="May-22"/>
    <x v="43"/>
    <x v="1"/>
    <n v="913"/>
    <n v="914"/>
    <n v="-1"/>
    <n v="-0.10940919037199125"/>
    <n v="4473"/>
    <n v="4472"/>
    <n v="1"/>
    <n v="2.2361359570661897E-2"/>
    <n v="5386"/>
    <n v="5386"/>
    <n v="0"/>
    <n v="0"/>
    <n v="1"/>
    <n v="0"/>
    <n v="0"/>
    <n v="0"/>
    <n v="0"/>
    <n v="0"/>
    <n v="0"/>
    <n v="816"/>
  </r>
  <r>
    <s v="45"/>
    <s v="May-22"/>
    <x v="44"/>
    <x v="3"/>
    <n v="4074"/>
    <n v="4115"/>
    <n v="-41"/>
    <n v="-0.99635479951397321"/>
    <n v="20727"/>
    <n v="20686"/>
    <n v="41"/>
    <n v="0.19820168229720581"/>
    <n v="24801"/>
    <n v="24801"/>
    <n v="0"/>
    <n v="0"/>
    <n v="41"/>
    <n v="0"/>
    <n v="0"/>
    <n v="0"/>
    <n v="0"/>
    <n v="0"/>
    <n v="0"/>
    <n v="5391"/>
  </r>
  <r>
    <s v="46"/>
    <s v="May-22"/>
    <x v="45"/>
    <x v="0"/>
    <n v="9546"/>
    <n v="9632"/>
    <n v="-86"/>
    <n v="-0.89285714285714279"/>
    <n v="47975"/>
    <n v="47889"/>
    <n v="86"/>
    <n v="0.17958194992587023"/>
    <n v="57521"/>
    <n v="57521"/>
    <n v="0"/>
    <n v="0"/>
    <n v="86"/>
    <n v="0"/>
    <n v="0"/>
    <n v="0"/>
    <n v="0"/>
    <n v="0"/>
    <n v="0"/>
    <n v="21603"/>
  </r>
  <r>
    <s v="47"/>
    <s v="May-22"/>
    <x v="46"/>
    <x v="1"/>
    <n v="1203"/>
    <n v="1213"/>
    <n v="-10"/>
    <n v="-0.82440230832646322"/>
    <n v="11715"/>
    <n v="11705"/>
    <n v="10"/>
    <n v="8.5433575395130287E-2"/>
    <n v="12918"/>
    <n v="12918"/>
    <n v="0"/>
    <n v="0"/>
    <n v="10"/>
    <n v="0"/>
    <n v="0"/>
    <n v="0"/>
    <n v="0"/>
    <n v="0"/>
    <n v="0"/>
    <n v="1461"/>
  </r>
  <r>
    <s v="48"/>
    <s v="May-22"/>
    <x v="47"/>
    <x v="1"/>
    <n v="3404"/>
    <n v="3404"/>
    <n v="0"/>
    <n v="0"/>
    <n v="21164"/>
    <n v="21164"/>
    <n v="0"/>
    <n v="0"/>
    <n v="24568"/>
    <n v="24568"/>
    <n v="0"/>
    <n v="0"/>
    <n v="0"/>
    <n v="0"/>
    <n v="0"/>
    <n v="0"/>
    <n v="0"/>
    <n v="0"/>
    <n v="0"/>
    <n v="4398"/>
  </r>
  <r>
    <s v="49"/>
    <s v="May-22"/>
    <x v="48"/>
    <x v="3"/>
    <n v="5186"/>
    <n v="5163"/>
    <n v="23"/>
    <n v="0.44547743559945768"/>
    <n v="18899"/>
    <n v="18583"/>
    <n v="316"/>
    <n v="1.7004789323575311"/>
    <n v="24085"/>
    <n v="23746"/>
    <n v="339"/>
    <n v="1.4276088604396531"/>
    <n v="0"/>
    <n v="316"/>
    <n v="23"/>
    <n v="0"/>
    <n v="0"/>
    <n v="0"/>
    <n v="17"/>
    <n v="4490"/>
  </r>
  <r>
    <s v="50"/>
    <s v="May-22"/>
    <x v="49"/>
    <x v="4"/>
    <n v="2280"/>
    <n v="2280"/>
    <n v="0"/>
    <n v="0"/>
    <n v="16802"/>
    <n v="16802"/>
    <n v="0"/>
    <n v="0"/>
    <n v="19082"/>
    <n v="19082"/>
    <n v="0"/>
    <n v="0"/>
    <n v="0"/>
    <n v="0"/>
    <n v="1"/>
    <n v="0"/>
    <n v="1"/>
    <n v="0"/>
    <n v="1"/>
    <n v="1725"/>
  </r>
  <r>
    <s v="51"/>
    <s v="May-22"/>
    <x v="50"/>
    <x v="2"/>
    <n v="8009"/>
    <n v="8539"/>
    <n v="-530"/>
    <n v="-6.2068157863918492"/>
    <n v="40389"/>
    <n v="40225"/>
    <n v="164"/>
    <n v="0.40770665009322565"/>
    <n v="48398"/>
    <n v="48764"/>
    <n v="-366"/>
    <n v="-0.75055368714625537"/>
    <n v="233"/>
    <n v="11"/>
    <n v="0"/>
    <n v="76"/>
    <n v="373"/>
    <n v="4"/>
    <n v="0"/>
    <n v="10166"/>
  </r>
  <r>
    <s v="52"/>
    <s v="May-22"/>
    <x v="51"/>
    <x v="0"/>
    <n v="612"/>
    <n v="612"/>
    <n v="0"/>
    <n v="0"/>
    <n v="19535"/>
    <n v="19473"/>
    <n v="62"/>
    <n v="0.31838956503877164"/>
    <n v="20147"/>
    <n v="20085"/>
    <n v="62"/>
    <n v="0.30868807567836692"/>
    <n v="0"/>
    <n v="62"/>
    <n v="0"/>
    <n v="0"/>
    <n v="0"/>
    <n v="0"/>
    <n v="0"/>
    <n v="4917"/>
  </r>
  <r>
    <s v="53"/>
    <s v="May-22"/>
    <x v="52"/>
    <x v="0"/>
    <n v="274"/>
    <n v="274"/>
    <n v="0"/>
    <n v="0"/>
    <n v="980"/>
    <n v="980"/>
    <n v="0"/>
    <n v="0"/>
    <n v="1254"/>
    <n v="1254"/>
    <n v="0"/>
    <n v="0"/>
    <n v="0"/>
    <n v="0"/>
    <n v="0"/>
    <n v="0"/>
    <n v="0"/>
    <n v="0"/>
    <n v="0"/>
    <n v="91"/>
  </r>
  <r>
    <s v="54"/>
    <s v="May-22"/>
    <x v="53"/>
    <x v="3"/>
    <n v="3957"/>
    <n v="3908"/>
    <n v="49"/>
    <n v="1.2538382804503583"/>
    <n v="27492"/>
    <n v="27541"/>
    <n v="-49"/>
    <n v="-0.17791656076395193"/>
    <n v="31449"/>
    <n v="31449"/>
    <n v="0"/>
    <n v="0"/>
    <n v="3"/>
    <n v="0"/>
    <n v="0"/>
    <n v="52"/>
    <n v="0"/>
    <n v="0"/>
    <n v="0"/>
    <n v="3044"/>
  </r>
  <r>
    <s v="55"/>
    <s v="May-22"/>
    <x v="54"/>
    <x v="3"/>
    <n v="391"/>
    <n v="390"/>
    <n v="1"/>
    <n v="0.25641025641025639"/>
    <n v="2911"/>
    <n v="2912"/>
    <n v="-1"/>
    <n v="-3.4340659340659344E-2"/>
    <n v="3302"/>
    <n v="3302"/>
    <n v="0"/>
    <n v="0"/>
    <n v="0"/>
    <n v="0"/>
    <n v="0"/>
    <n v="1"/>
    <n v="0"/>
    <n v="0"/>
    <n v="0"/>
    <n v="351"/>
  </r>
  <r>
    <s v="56"/>
    <s v="May-22"/>
    <x v="55"/>
    <x v="4"/>
    <n v="3979"/>
    <n v="3941"/>
    <n v="38"/>
    <n v="0.96422227860948995"/>
    <n v="24464"/>
    <n v="24028"/>
    <n v="436"/>
    <n v="1.8145496920259696"/>
    <n v="28443"/>
    <n v="27969"/>
    <n v="474"/>
    <n v="1.6947334548964927"/>
    <n v="0"/>
    <n v="436"/>
    <n v="38"/>
    <n v="0"/>
    <n v="0"/>
    <n v="0"/>
    <n v="0"/>
    <n v="4802"/>
  </r>
  <r>
    <s v="57"/>
    <s v="May-22"/>
    <x v="56"/>
    <x v="3"/>
    <n v="375"/>
    <n v="375"/>
    <n v="0"/>
    <n v="0"/>
    <n v="7503"/>
    <n v="7503"/>
    <n v="0"/>
    <n v="0"/>
    <n v="7878"/>
    <n v="7878"/>
    <n v="0"/>
    <n v="0"/>
    <n v="0"/>
    <n v="0"/>
    <n v="0"/>
    <n v="0"/>
    <n v="0"/>
    <n v="0"/>
    <n v="0"/>
    <n v="284"/>
  </r>
  <r>
    <s v="58"/>
    <s v="May-22"/>
    <x v="57"/>
    <x v="2"/>
    <n v="3916"/>
    <n v="3917"/>
    <n v="-1"/>
    <n v="-2.5529742149604292E-2"/>
    <n v="21408"/>
    <n v="21407"/>
    <n v="1"/>
    <n v="4.6713691783061614E-3"/>
    <n v="25324"/>
    <n v="25324"/>
    <n v="0"/>
    <n v="0"/>
    <n v="12"/>
    <n v="0"/>
    <n v="0"/>
    <n v="11"/>
    <n v="0"/>
    <n v="0"/>
    <n v="0"/>
    <n v="598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792D43-1683-4D17-A11A-797FBF3D2925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gridDropZones="1" multipleFieldFilters="0" chartFormat="9">
  <location ref="A3:D10" firstHeaderRow="1" firstDataRow="2" firstDataCol="1"/>
  <pivotFields count="21">
    <pivotField compact="0" outline="0" showAll="0"/>
    <pivotField compact="0" outline="0" showAll="0"/>
    <pivotField compact="0" outline="0" showAll="0">
      <items count="59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0"/>
        <item x="51"/>
        <item x="52"/>
        <item x="53"/>
        <item x="54"/>
        <item x="55"/>
        <item x="56"/>
        <item x="57"/>
        <item x="5"/>
        <item x="6"/>
        <item x="7"/>
        <item x="8"/>
        <item t="default"/>
      </items>
    </pivotField>
    <pivotField axis="axisRow" compact="0" outline="0" showAll="0">
      <items count="6">
        <item x="4"/>
        <item x="1"/>
        <item x="0"/>
        <item x="2"/>
        <item x="3"/>
        <item t="default"/>
      </items>
    </pivotField>
    <pivotField compact="0" numFmtId="37" outline="0" showAll="0">
      <items count="59">
        <item x="2"/>
        <item x="12"/>
        <item x="35"/>
        <item x="1"/>
        <item x="52"/>
        <item x="56"/>
        <item x="31"/>
        <item x="54"/>
        <item x="41"/>
        <item x="7"/>
        <item x="51"/>
        <item x="14"/>
        <item x="5"/>
        <item x="38"/>
        <item x="32"/>
        <item x="40"/>
        <item x="37"/>
        <item x="43"/>
        <item x="10"/>
        <item x="11"/>
        <item x="8"/>
        <item x="16"/>
        <item x="46"/>
        <item x="24"/>
        <item x="23"/>
        <item x="26"/>
        <item x="3"/>
        <item x="6"/>
        <item x="18"/>
        <item x="49"/>
        <item x="17"/>
        <item x="30"/>
        <item x="25"/>
        <item x="47"/>
        <item x="39"/>
        <item x="42"/>
        <item x="15"/>
        <item x="27"/>
        <item x="0"/>
        <item x="57"/>
        <item x="53"/>
        <item x="55"/>
        <item x="44"/>
        <item x="19"/>
        <item x="33"/>
        <item x="21"/>
        <item x="22"/>
        <item x="9"/>
        <item x="48"/>
        <item x="36"/>
        <item x="34"/>
        <item x="29"/>
        <item x="50"/>
        <item x="4"/>
        <item x="45"/>
        <item x="20"/>
        <item x="28"/>
        <item x="13"/>
        <item t="default"/>
      </items>
    </pivotField>
    <pivotField compact="0" numFmtId="37" outline="0" showAll="0"/>
    <pivotField dataField="1" compact="0" numFmtId="37" outline="0" showAll="0">
      <items count="31">
        <item x="27"/>
        <item x="0"/>
        <item x="17"/>
        <item x="26"/>
        <item x="3"/>
        <item x="9"/>
        <item x="25"/>
        <item x="4"/>
        <item x="15"/>
        <item x="24"/>
        <item x="8"/>
        <item x="2"/>
        <item x="1"/>
        <item x="5"/>
        <item x="21"/>
        <item x="6"/>
        <item x="16"/>
        <item x="22"/>
        <item x="14"/>
        <item x="11"/>
        <item x="29"/>
        <item x="7"/>
        <item x="28"/>
        <item x="12"/>
        <item x="23"/>
        <item x="19"/>
        <item x="18"/>
        <item x="20"/>
        <item x="10"/>
        <item x="13"/>
        <item t="default"/>
      </items>
    </pivotField>
    <pivotField compact="0" numFmtId="37" outline="0" showAll="0"/>
    <pivotField compact="0" numFmtId="37" outline="0" showAll="0"/>
    <pivotField dataField="1" compact="0" numFmtId="37" outline="0" showAll="0"/>
    <pivotField compact="0" numFmtId="37" outline="0" showAll="0"/>
    <pivotField compact="0" numFmtId="37" outline="0" showAll="0"/>
    <pivotField dataField="1" compact="0" numFmtId="37" outline="0" showAll="0"/>
    <pivotField compact="0" numFmtId="37" outline="0" showAll="0"/>
    <pivotField compact="0" numFmtId="37" outline="0" showAll="0"/>
    <pivotField compact="0" numFmtId="37" outline="0" showAll="0"/>
    <pivotField compact="0" numFmtId="37" outline="0" showAll="0"/>
    <pivotField compact="0" numFmtId="37" outline="0" showAll="0"/>
    <pivotField compact="0" numFmtId="37" outline="0" showAll="0"/>
    <pivotField compact="0" numFmtId="37" outline="0" showAll="0"/>
    <pivotField compact="0" numFmtId="37" outline="0" showAll="0">
      <items count="59">
        <item x="35"/>
        <item x="2"/>
        <item x="12"/>
        <item x="52"/>
        <item x="56"/>
        <item x="31"/>
        <item x="54"/>
        <item x="1"/>
        <item x="40"/>
        <item x="10"/>
        <item x="38"/>
        <item x="41"/>
        <item x="32"/>
        <item x="7"/>
        <item x="23"/>
        <item x="43"/>
        <item x="5"/>
        <item x="37"/>
        <item x="14"/>
        <item x="16"/>
        <item x="8"/>
        <item x="24"/>
        <item x="46"/>
        <item x="11"/>
        <item x="6"/>
        <item x="49"/>
        <item x="3"/>
        <item x="30"/>
        <item x="26"/>
        <item x="25"/>
        <item x="17"/>
        <item x="53"/>
        <item x="47"/>
        <item x="48"/>
        <item x="21"/>
        <item x="27"/>
        <item x="55"/>
        <item x="51"/>
        <item x="44"/>
        <item x="15"/>
        <item x="57"/>
        <item x="36"/>
        <item x="19"/>
        <item x="9"/>
        <item x="34"/>
        <item x="29"/>
        <item x="42"/>
        <item x="39"/>
        <item x="22"/>
        <item x="50"/>
        <item x="33"/>
        <item x="18"/>
        <item x="13"/>
        <item x="28"/>
        <item x="4"/>
        <item x="45"/>
        <item x="20"/>
        <item x="0"/>
        <item t="default"/>
      </items>
    </pivotField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et Soft LOC" fld="6" baseField="0" baseItem="0"/>
    <dataField name="Sum of Homes RFS" fld="9" baseField="0" baseItem="0"/>
    <dataField name="Sum of Homes Passed" fld="12" baseField="0" baseItem="0"/>
  </dataFields>
  <chartFormats count="15">
    <chartFormat chart="1" format="2" series="1">
      <pivotArea type="data" outline="0" fieldPosition="0"/>
    </chartFormat>
    <chartFormat chart="1" format="67" series="1">
      <pivotArea type="data" outline="0" fieldPosition="0">
        <references count="1">
          <reference field="3" count="1" selected="0">
            <x v="0"/>
          </reference>
        </references>
      </pivotArea>
    </chartFormat>
    <chartFormat chart="1" format="68" series="1">
      <pivotArea type="data" outline="0" fieldPosition="0">
        <references count="1">
          <reference field="3" count="1" selected="0">
            <x v="1"/>
          </reference>
        </references>
      </pivotArea>
    </chartFormat>
    <chartFormat chart="1" format="69" series="1">
      <pivotArea type="data" outline="0" fieldPosition="0">
        <references count="1">
          <reference field="3" count="1" selected="0">
            <x v="2"/>
          </reference>
        </references>
      </pivotArea>
    </chartFormat>
    <chartFormat chart="1" format="70" series="1">
      <pivotArea type="data" outline="0" fieldPosition="0">
        <references count="1">
          <reference field="3" count="1" selected="0">
            <x v="3"/>
          </reference>
        </references>
      </pivotArea>
    </chartFormat>
    <chartFormat chart="1" format="71" series="1">
      <pivotArea type="data" outline="0" fieldPosition="0">
        <references count="1">
          <reference field="3" count="1" selected="0">
            <x v="4"/>
          </reference>
        </references>
      </pivotArea>
    </chartFormat>
    <chartFormat chart="1" format="7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7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7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7" format="7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7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7" format="8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C9167-DA1E-4F24-A450-AF6A617F1017}" name="PivotTable2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gridDropZones="1" multipleFieldFilters="0" chartFormat="9">
  <location ref="A3:AS7" firstHeaderRow="1" firstDataRow="3" firstDataCol="1"/>
  <pivotFields count="24">
    <pivotField compact="0" outline="0" showAll="0"/>
    <pivotField compact="0" outline="0" showAll="0"/>
    <pivotField axis="axisCol" compact="0" outline="0" showAll="0">
      <items count="60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0"/>
        <item x="51"/>
        <item x="52"/>
        <item x="53"/>
        <item x="54"/>
        <item x="55"/>
        <item x="56"/>
        <item x="57"/>
        <item x="5"/>
        <item x="6"/>
        <item x="7"/>
        <item x="8"/>
        <item x="58"/>
        <item t="default"/>
      </items>
    </pivotField>
    <pivotField axis="axisRow" compact="0" outline="0" showAll="0">
      <items count="7">
        <item x="4"/>
        <item h="1" x="1"/>
        <item h="1" x="0"/>
        <item h="1" x="2"/>
        <item h="1" x="3"/>
        <item h="1" x="5"/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3"/>
  </rowFields>
  <rowItems count="2">
    <i>
      <x/>
    </i>
    <i t="grand">
      <x/>
    </i>
  </rowItems>
  <colFields count="2">
    <field x="2"/>
    <field x="-2"/>
  </colFields>
  <colItems count="44">
    <i>
      <x v="1"/>
      <x/>
    </i>
    <i r="1" i="1">
      <x v="1"/>
    </i>
    <i r="1" i="2">
      <x v="2"/>
    </i>
    <i r="1" i="3">
      <x v="3"/>
    </i>
    <i>
      <x v="5"/>
      <x/>
    </i>
    <i r="1" i="1">
      <x v="1"/>
    </i>
    <i r="1" i="2">
      <x v="2"/>
    </i>
    <i r="1" i="3">
      <x v="3"/>
    </i>
    <i>
      <x v="7"/>
      <x/>
    </i>
    <i r="1" i="1">
      <x v="1"/>
    </i>
    <i r="1" i="2">
      <x v="2"/>
    </i>
    <i r="1" i="3">
      <x v="3"/>
    </i>
    <i>
      <x v="23"/>
      <x/>
    </i>
    <i r="1" i="1">
      <x v="1"/>
    </i>
    <i r="1" i="2">
      <x v="2"/>
    </i>
    <i r="1" i="3">
      <x v="3"/>
    </i>
    <i>
      <x v="27"/>
      <x/>
    </i>
    <i r="1" i="1">
      <x v="1"/>
    </i>
    <i r="1" i="2">
      <x v="2"/>
    </i>
    <i r="1" i="3">
      <x v="3"/>
    </i>
    <i>
      <x v="30"/>
      <x/>
    </i>
    <i r="1" i="1">
      <x v="1"/>
    </i>
    <i r="1" i="2">
      <x v="2"/>
    </i>
    <i r="1" i="3">
      <x v="3"/>
    </i>
    <i>
      <x v="32"/>
      <x/>
    </i>
    <i r="1" i="1">
      <x v="1"/>
    </i>
    <i r="1" i="2">
      <x v="2"/>
    </i>
    <i r="1" i="3">
      <x v="3"/>
    </i>
    <i>
      <x v="34"/>
      <x/>
    </i>
    <i r="1" i="1">
      <x v="1"/>
    </i>
    <i r="1" i="2">
      <x v="2"/>
    </i>
    <i r="1" i="3">
      <x v="3"/>
    </i>
    <i>
      <x v="45"/>
      <x/>
    </i>
    <i r="1" i="1">
      <x v="1"/>
    </i>
    <i r="1" i="2">
      <x v="2"/>
    </i>
    <i r="1" i="3">
      <x v="3"/>
    </i>
    <i>
      <x v="51"/>
      <x/>
    </i>
    <i r="1" i="1">
      <x v="1"/>
    </i>
    <i r="1" i="2">
      <x v="2"/>
    </i>
    <i r="1" i="3">
      <x v="3"/>
    </i>
    <i t="grand">
      <x/>
    </i>
    <i t="grand" i="1">
      <x/>
    </i>
    <i t="grand" i="2">
      <x/>
    </i>
    <i t="grand" i="3">
      <x/>
    </i>
  </colItems>
  <dataFields count="4">
    <dataField name="Sum of Soft LOC (cum)" fld="4" baseField="0" baseItem="0"/>
    <dataField name="Sum of MDU Passed (cum)" fld="23" baseField="0" baseItem="0"/>
    <dataField name="Sum of Soft LOC (prev)" fld="5" baseField="0" baseItem="0"/>
    <dataField name="Sum of Net Soft LOC" fld="6" baseField="0" baseItem="0"/>
  </dataFields>
  <chartFormats count="199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7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7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3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3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7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7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0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0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2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2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4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4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5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5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5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1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1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1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1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1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2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2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2"/>
          </reference>
        </references>
      </pivotArea>
    </chartFormat>
    <chartFormat chart="1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chartFormat>
    <chartFormat chart="1" format="4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5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5"/>
          </reference>
        </references>
      </pivotArea>
    </chartFormat>
    <chartFormat chart="1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5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"/>
          </reference>
        </references>
      </pivotArea>
    </chartFormat>
    <chartFormat chart="1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5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8"/>
          </reference>
        </references>
      </pivotArea>
    </chartFormat>
    <chartFormat chart="1" format="5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8"/>
          </reference>
        </references>
      </pivotArea>
    </chartFormat>
    <chartFormat chart="1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6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9"/>
          </reference>
        </references>
      </pivotArea>
    </chartFormat>
    <chartFormat chart="1" format="6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9"/>
          </reference>
        </references>
      </pivotArea>
    </chartFormat>
    <chartFormat chart="1" format="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" format="6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1"/>
          </reference>
        </references>
      </pivotArea>
    </chartFormat>
    <chartFormat chart="1" format="6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1"/>
          </reference>
        </references>
      </pivotArea>
    </chartFormat>
    <chartFormat chart="1" format="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" format="6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7"/>
          </reference>
        </references>
      </pivotArea>
    </chartFormat>
    <chartFormat chart="1" format="7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7"/>
          </reference>
        </references>
      </pivotArea>
    </chartFormat>
    <chartFormat chart="1" format="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" format="7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8"/>
          </reference>
        </references>
      </pivotArea>
    </chartFormat>
    <chartFormat chart="1" format="7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8"/>
          </reference>
        </references>
      </pivotArea>
    </chartFormat>
    <chartFormat chart="1" format="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" format="7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1"/>
          </reference>
        </references>
      </pivotArea>
    </chartFormat>
    <chartFormat chart="1" format="7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1"/>
          </reference>
        </references>
      </pivotArea>
    </chartFormat>
    <chartFormat chart="1" format="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" format="8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2"/>
          </reference>
        </references>
      </pivotArea>
    </chartFormat>
    <chartFormat chart="1" format="8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2"/>
          </reference>
        </references>
      </pivotArea>
    </chartFormat>
    <chartFormat chart="1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" format="8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3"/>
          </reference>
        </references>
      </pivotArea>
    </chartFormat>
    <chartFormat chart="1" format="8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3"/>
          </reference>
        </references>
      </pivotArea>
    </chartFormat>
    <chartFormat chart="1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" format="8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8"/>
          </reference>
        </references>
      </pivotArea>
    </chartFormat>
    <chartFormat chart="1" format="9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8"/>
          </reference>
        </references>
      </pivotArea>
    </chartFormat>
    <chartFormat chart="1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" format="9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3"/>
          </reference>
        </references>
      </pivotArea>
    </chartFormat>
    <chartFormat chart="1" format="9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3"/>
          </reference>
        </references>
      </pivotArea>
    </chartFormat>
    <chartFormat chart="1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" format="9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4"/>
          </reference>
        </references>
      </pivotArea>
    </chartFormat>
    <chartFormat chart="1" format="9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4"/>
          </reference>
        </references>
      </pivotArea>
    </chartFormat>
    <chartFormat chart="1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" format="10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5"/>
          </reference>
        </references>
      </pivotArea>
    </chartFormat>
    <chartFormat chart="1" format="10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5"/>
          </reference>
        </references>
      </pivotArea>
    </chartFormat>
    <chartFormat chart="1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" format="10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6"/>
          </reference>
        </references>
      </pivotArea>
    </chartFormat>
    <chartFormat chart="1" format="10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6"/>
          </reference>
        </references>
      </pivotArea>
    </chartFormat>
    <chartFormat chart="1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" format="10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9"/>
          </reference>
        </references>
      </pivotArea>
    </chartFormat>
    <chartFormat chart="1" format="11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9"/>
          </reference>
        </references>
      </pivotArea>
    </chartFormat>
    <chartFormat chart="1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" format="11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0"/>
          </reference>
        </references>
      </pivotArea>
    </chartFormat>
    <chartFormat chart="1" format="11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0"/>
          </reference>
        </references>
      </pivotArea>
    </chartFormat>
    <chartFormat chart="1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" format="11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4"/>
          </reference>
        </references>
      </pivotArea>
    </chartFormat>
    <chartFormat chart="1" format="11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4"/>
          </reference>
        </references>
      </pivotArea>
    </chartFormat>
    <chartFormat chart="1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" format="12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5"/>
          </reference>
        </references>
      </pivotArea>
    </chartFormat>
    <chartFormat chart="1" format="12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5"/>
          </reference>
        </references>
      </pivotArea>
    </chartFormat>
    <chartFormat chart="1" format="1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" format="12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6"/>
          </reference>
        </references>
      </pivotArea>
    </chartFormat>
    <chartFormat chart="1" format="12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6"/>
          </reference>
        </references>
      </pivotArea>
    </chartFormat>
    <chartFormat chart="1" format="1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" format="12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8"/>
          </reference>
        </references>
      </pivotArea>
    </chartFormat>
    <chartFormat chart="1" format="13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8"/>
          </reference>
        </references>
      </pivotArea>
    </chartFormat>
    <chartFormat chart="1" format="1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1" format="13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9"/>
          </reference>
        </references>
      </pivotArea>
    </chartFormat>
    <chartFormat chart="1" format="13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9"/>
          </reference>
        </references>
      </pivotArea>
    </chartFormat>
    <chartFormat chart="1" format="1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" format="13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1"/>
          </reference>
        </references>
      </pivotArea>
    </chartFormat>
    <chartFormat chart="1" format="13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1"/>
          </reference>
        </references>
      </pivotArea>
    </chartFormat>
    <chartFormat chart="1" format="1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" format="14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5"/>
          </reference>
        </references>
      </pivotArea>
    </chartFormat>
    <chartFormat chart="1" format="14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5"/>
          </reference>
        </references>
      </pivotArea>
    </chartFormat>
    <chartFormat chart="1" format="1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" format="14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6"/>
          </reference>
        </references>
      </pivotArea>
    </chartFormat>
    <chartFormat chart="1" format="14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6"/>
          </reference>
        </references>
      </pivotArea>
    </chartFormat>
    <chartFormat chart="1" format="1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" format="14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7"/>
          </reference>
        </references>
      </pivotArea>
    </chartFormat>
    <chartFormat chart="1" format="15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7"/>
          </reference>
        </references>
      </pivotArea>
    </chartFormat>
    <chartFormat chart="1" format="1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" format="15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9"/>
          </reference>
        </references>
      </pivotArea>
    </chartFormat>
    <chartFormat chart="1" format="15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9"/>
          </reference>
        </references>
      </pivotArea>
    </chartFormat>
    <chartFormat chart="1" format="1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" format="15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0"/>
          </reference>
        </references>
      </pivotArea>
    </chartFormat>
    <chartFormat chart="1" format="15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0"/>
          </reference>
        </references>
      </pivotArea>
    </chartFormat>
    <chartFormat chart="1" format="1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" format="16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3"/>
          </reference>
        </references>
      </pivotArea>
    </chartFormat>
    <chartFormat chart="1" format="16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3"/>
          </reference>
        </references>
      </pivotArea>
    </chartFormat>
    <chartFormat chart="1" format="1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1" format="16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4"/>
          </reference>
        </references>
      </pivotArea>
    </chartFormat>
    <chartFormat chart="1" format="16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4"/>
          </reference>
        </references>
      </pivotArea>
    </chartFormat>
    <chartFormat chart="1" format="1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1" format="16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6"/>
          </reference>
        </references>
      </pivotArea>
    </chartFormat>
    <chartFormat chart="1" format="17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6"/>
          </reference>
        </references>
      </pivotArea>
    </chartFormat>
    <chartFormat chart="1" format="1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7"/>
          </reference>
        </references>
      </pivotArea>
    </chartFormat>
    <chartFormat chart="1" format="17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7"/>
          </reference>
        </references>
      </pivotArea>
    </chartFormat>
    <chartFormat chart="1" format="17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7"/>
          </reference>
        </references>
      </pivotArea>
    </chartFormat>
    <chartFormat chart="1" format="1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1" format="17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8"/>
          </reference>
        </references>
      </pivotArea>
    </chartFormat>
    <chartFormat chart="1" format="17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8"/>
          </reference>
        </references>
      </pivotArea>
    </chartFormat>
    <chartFormat chart="1" format="1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9"/>
          </reference>
        </references>
      </pivotArea>
    </chartFormat>
    <chartFormat chart="1" format="18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9"/>
          </reference>
        </references>
      </pivotArea>
    </chartFormat>
    <chartFormat chart="1" format="18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9"/>
          </reference>
        </references>
      </pivotArea>
    </chartFormat>
    <chartFormat chart="1" format="1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0"/>
          </reference>
        </references>
      </pivotArea>
    </chartFormat>
    <chartFormat chart="1" format="18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0"/>
          </reference>
        </references>
      </pivotArea>
    </chartFormat>
    <chartFormat chart="1" format="18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0"/>
          </reference>
        </references>
      </pivotArea>
    </chartFormat>
    <chartFormat chart="1" format="1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2"/>
          </reference>
        </references>
      </pivotArea>
    </chartFormat>
    <chartFormat chart="1" format="18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2"/>
          </reference>
        </references>
      </pivotArea>
    </chartFormat>
    <chartFormat chart="1" format="19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2"/>
          </reference>
        </references>
      </pivotArea>
    </chartFormat>
    <chartFormat chart="1" format="1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3"/>
          </reference>
        </references>
      </pivotArea>
    </chartFormat>
    <chartFormat chart="1" format="19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3"/>
          </reference>
        </references>
      </pivotArea>
    </chartFormat>
    <chartFormat chart="1" format="19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3"/>
          </reference>
        </references>
      </pivotArea>
    </chartFormat>
    <chartFormat chart="1" format="1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4"/>
          </reference>
        </references>
      </pivotArea>
    </chartFormat>
    <chartFormat chart="1" format="19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4"/>
          </reference>
        </references>
      </pivotArea>
    </chartFormat>
    <chartFormat chart="1" format="19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4"/>
          </reference>
        </references>
      </pivotArea>
    </chartFormat>
    <chartFormat chart="1" format="2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6"/>
          </reference>
        </references>
      </pivotArea>
    </chartFormat>
    <chartFormat chart="1" format="20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6"/>
          </reference>
        </references>
      </pivotArea>
    </chartFormat>
    <chartFormat chart="1" format="20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6"/>
          </reference>
        </references>
      </pivotArea>
    </chartFormat>
    <chartFormat chart="1" format="2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7"/>
          </reference>
        </references>
      </pivotArea>
    </chartFormat>
    <chartFormat chart="1" format="20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7"/>
          </reference>
        </references>
      </pivotArea>
    </chartFormat>
    <chartFormat chart="1" format="20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7"/>
          </reference>
        </references>
      </pivotArea>
    </chartFormat>
    <chartFormat chart="1" format="2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8"/>
          </reference>
        </references>
      </pivotArea>
    </chartFormat>
    <chartFormat chart="1" format="20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8"/>
          </reference>
        </references>
      </pivotArea>
    </chartFormat>
    <chartFormat chart="1" format="21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8"/>
          </reference>
        </references>
      </pivotArea>
    </chartFormat>
    <chartFormat chart="1" format="2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21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1" format="21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21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22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22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6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6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22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0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0"/>
          </reference>
        </references>
      </pivotArea>
    </chartFormat>
    <chartFormat chart="1" format="2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" format="23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2"/>
          </reference>
        </references>
      </pivotArea>
    </chartFormat>
    <chartFormat chart="1" format="23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2"/>
          </reference>
        </references>
      </pivotArea>
    </chartFormat>
    <chartFormat chart="1" format="236">
      <pivotArea type="data" outline="0" fieldPosition="0">
        <references count="3">
          <reference field="4294967294" count="1" selected="0">
            <x v="2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1" format="237">
      <pivotArea type="data" outline="0" fieldPosition="0">
        <references count="3">
          <reference field="4294967294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</references>
      </pivotArea>
    </chartFormat>
    <chartFormat chart="1" format="238">
      <pivotArea type="data" outline="0" fieldPosition="0">
        <references count="3">
          <reference field="4294967294" count="1" selected="0">
            <x v="2"/>
          </reference>
          <reference field="2" count="1" selected="0">
            <x v="5"/>
          </reference>
          <reference field="3" count="1" selected="0">
            <x v="0"/>
          </reference>
        </references>
      </pivotArea>
    </chartFormat>
    <chartFormat chart="1" format="239">
      <pivotArea type="data" outline="0" fieldPosition="0">
        <references count="3">
          <reference field="4294967294" count="1" selected="0">
            <x v="0"/>
          </reference>
          <reference field="2" count="1" selected="0">
            <x v="5"/>
          </reference>
          <reference field="3" count="1" selected="0">
            <x v="0"/>
          </reference>
        </references>
      </pivotArea>
    </chartFormat>
    <chartFormat chart="1" format="241">
      <pivotArea type="data" outline="0" fieldPosition="0">
        <references count="3">
          <reference field="4294967294" count="1" selected="0">
            <x v="3"/>
          </reference>
          <reference field="2" count="1" selected="0">
            <x v="5"/>
          </reference>
          <reference field="3" count="1" selected="0">
            <x v="0"/>
          </reference>
        </references>
      </pivotArea>
    </chartFormat>
    <chartFormat chart="1" format="242">
      <pivotArea type="data" outline="0" fieldPosition="0">
        <references count="3">
          <reference field="4294967294" count="1" selected="0">
            <x v="2"/>
          </reference>
          <reference field="2" count="1" selected="0">
            <x v="23"/>
          </reference>
          <reference field="3" count="1" selected="0">
            <x v="0"/>
          </reference>
        </references>
      </pivotArea>
    </chartFormat>
    <chartFormat chart="1" format="243">
      <pivotArea type="data" outline="0" fieldPosition="0">
        <references count="3">
          <reference field="4294967294" count="1" selected="0">
            <x v="2"/>
          </reference>
          <reference field="2" count="1" selected="0">
            <x v="27"/>
          </reference>
          <reference field="3" count="1" selected="0">
            <x v="0"/>
          </reference>
        </references>
      </pivotArea>
    </chartFormat>
    <chartFormat chart="1" format="244">
      <pivotArea type="data" outline="0" fieldPosition="0">
        <references count="3">
          <reference field="4294967294" count="1" selected="0">
            <x v="0"/>
          </reference>
          <reference field="2" count="1" selected="0">
            <x v="27"/>
          </reference>
          <reference field="3" count="1" selected="0">
            <x v="0"/>
          </reference>
        </references>
      </pivotArea>
    </chartFormat>
    <chartFormat chart="1" format="245">
      <pivotArea type="data" outline="0" fieldPosition="0">
        <references count="3">
          <reference field="4294967294" count="1" selected="0">
            <x v="2"/>
          </reference>
          <reference field="2" count="1" selected="0">
            <x v="30"/>
          </reference>
          <reference field="3" count="1" selected="0">
            <x v="0"/>
          </reference>
        </references>
      </pivotArea>
    </chartFormat>
    <chartFormat chart="1" format="246">
      <pivotArea type="data" outline="0" fieldPosition="0">
        <references count="3">
          <reference field="4294967294" count="1" selected="0">
            <x v="0"/>
          </reference>
          <reference field="2" count="1" selected="0">
            <x v="30"/>
          </reference>
          <reference field="3" count="1" selected="0">
            <x v="0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5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1"/>
          </reference>
        </references>
      </pivotArea>
    </chartFormat>
    <chartFormat chart="1" format="2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1" format="250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1" format="2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1" format="252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3"/>
          </reference>
        </references>
      </pivotArea>
    </chartFormat>
    <chartFormat chart="1" format="2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7"/>
          </reference>
        </references>
      </pivotArea>
    </chartFormat>
    <chartFormat chart="1" format="254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0"/>
          </reference>
        </references>
      </pivotArea>
    </chartFormat>
    <chartFormat chart="1" format="2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2"/>
          </reference>
        </references>
      </pivotArea>
    </chartFormat>
    <chartFormat chart="1" format="256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4"/>
          </reference>
        </references>
      </pivotArea>
    </chartFormat>
    <chartFormat chart="1" format="257">
      <pivotArea type="data" outline="0" fieldPosition="0">
        <references count="3">
          <reference field="4294967294" count="1" selected="0">
            <x v="2"/>
          </reference>
          <reference field="2" count="1" selected="0">
            <x v="32"/>
          </reference>
          <reference field="3" count="1" selected="0">
            <x v="0"/>
          </reference>
        </references>
      </pivotArea>
    </chartFormat>
    <chartFormat chart="1" format="258">
      <pivotArea type="data" outline="0" fieldPosition="0">
        <references count="3">
          <reference field="4294967294" count="1" selected="0">
            <x v="1"/>
          </reference>
          <reference field="2" count="1" selected="0">
            <x v="32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880961-6083-456C-B63B-BBE1F2F43FB8}" name="PivotTable4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gridDropZones="1" multipleFieldFilters="0" chartFormat="13">
  <location ref="A3:BE7" firstHeaderRow="1" firstDataRow="3" firstDataCol="1"/>
  <pivotFields count="24">
    <pivotField compact="0" outline="0" showAll="0"/>
    <pivotField compact="0" outline="0" showAll="0"/>
    <pivotField axis="axisCol" compact="0" outline="0" showAll="0">
      <items count="59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0"/>
        <item x="51"/>
        <item x="52"/>
        <item x="53"/>
        <item x="54"/>
        <item x="55"/>
        <item x="56"/>
        <item x="57"/>
        <item x="5"/>
        <item x="6"/>
        <item x="7"/>
        <item x="8"/>
        <item t="default"/>
      </items>
    </pivotField>
    <pivotField axis="axisRow" compact="0" outline="0" showAll="0">
      <items count="6">
        <item h="1" x="4"/>
        <item h="1" x="1"/>
        <item h="1" x="0"/>
        <item x="2"/>
        <item h="1" x="3"/>
        <item t="default"/>
      </items>
    </pivotField>
    <pivotField compact="0" numFmtId="37" outline="0" showAll="0"/>
    <pivotField compact="0" numFmtId="37" outline="0" showAll="0"/>
    <pivotField compact="0" numFmtId="37" outline="0" showAll="0"/>
    <pivotField compact="0" outline="0" showAll="0"/>
    <pivotField dataField="1" compact="0" numFmtId="37" outline="0" showAll="0"/>
    <pivotField dataField="1" compact="0" numFmtId="37" outline="0" showAll="0"/>
    <pivotField dataField="1" compact="0" numFmtId="37" outline="0" showAll="0"/>
    <pivotField compact="0" outline="0" showAll="0"/>
    <pivotField compact="0" numFmtId="37" outline="0" showAll="0"/>
    <pivotField compact="0" numFmtId="37" outline="0" showAll="0"/>
    <pivotField compact="0" numFmtId="37" outline="0" showAll="0"/>
    <pivotField compact="0" outline="0" showAll="0"/>
    <pivotField compact="0" numFmtId="37" outline="0" showAll="0"/>
    <pivotField compact="0" numFmtId="37" outline="0" showAll="0"/>
    <pivotField compact="0" numFmtId="37" outline="0" showAll="0"/>
    <pivotField compact="0" numFmtId="37" outline="0" showAll="0"/>
    <pivotField compact="0" numFmtId="37" outline="0" showAll="0"/>
    <pivotField compact="0" numFmtId="37" outline="0" showAll="0"/>
    <pivotField compact="0" numFmtId="37" outline="0" showAll="0"/>
    <pivotField dataField="1" compact="0" numFmtId="37" outline="0" showAll="0"/>
  </pivotFields>
  <rowFields count="1">
    <field x="3"/>
  </rowFields>
  <rowItems count="2">
    <i>
      <x v="3"/>
    </i>
    <i t="grand">
      <x/>
    </i>
  </rowItems>
  <colFields count="2">
    <field x="2"/>
    <field x="-2"/>
  </colFields>
  <colItems count="56">
    <i>
      <x v="2"/>
      <x/>
    </i>
    <i r="1" i="1">
      <x v="1"/>
    </i>
    <i r="1" i="2">
      <x v="2"/>
    </i>
    <i r="1" i="3">
      <x v="3"/>
    </i>
    <i>
      <x v="6"/>
      <x/>
    </i>
    <i r="1" i="1">
      <x v="1"/>
    </i>
    <i r="1" i="2">
      <x v="2"/>
    </i>
    <i r="1" i="3">
      <x v="3"/>
    </i>
    <i>
      <x v="12"/>
      <x/>
    </i>
    <i r="1" i="1">
      <x v="1"/>
    </i>
    <i r="1" i="2">
      <x v="2"/>
    </i>
    <i r="1" i="3">
      <x v="3"/>
    </i>
    <i>
      <x v="20"/>
      <x/>
    </i>
    <i r="1" i="1">
      <x v="1"/>
    </i>
    <i r="1" i="2">
      <x v="2"/>
    </i>
    <i r="1" i="3">
      <x v="3"/>
    </i>
    <i>
      <x v="24"/>
      <x/>
    </i>
    <i r="1" i="1">
      <x v="1"/>
    </i>
    <i r="1" i="2">
      <x v="2"/>
    </i>
    <i r="1" i="3">
      <x v="3"/>
    </i>
    <i>
      <x v="31"/>
      <x/>
    </i>
    <i r="1" i="1">
      <x v="1"/>
    </i>
    <i r="1" i="2">
      <x v="2"/>
    </i>
    <i r="1" i="3">
      <x v="3"/>
    </i>
    <i>
      <x v="36"/>
      <x/>
    </i>
    <i r="1" i="1">
      <x v="1"/>
    </i>
    <i r="1" i="2">
      <x v="2"/>
    </i>
    <i r="1" i="3">
      <x v="3"/>
    </i>
    <i>
      <x v="37"/>
      <x/>
    </i>
    <i r="1" i="1">
      <x v="1"/>
    </i>
    <i r="1" i="2">
      <x v="2"/>
    </i>
    <i r="1" i="3">
      <x v="3"/>
    </i>
    <i>
      <x v="44"/>
      <x/>
    </i>
    <i r="1" i="1">
      <x v="1"/>
    </i>
    <i r="1" i="2">
      <x v="2"/>
    </i>
    <i r="1" i="3">
      <x v="3"/>
    </i>
    <i>
      <x v="46"/>
      <x/>
    </i>
    <i r="1" i="1">
      <x v="1"/>
    </i>
    <i r="1" i="2">
      <x v="2"/>
    </i>
    <i r="1" i="3">
      <x v="3"/>
    </i>
    <i>
      <x v="53"/>
      <x/>
    </i>
    <i r="1" i="1">
      <x v="1"/>
    </i>
    <i r="1" i="2">
      <x v="2"/>
    </i>
    <i r="1" i="3">
      <x v="3"/>
    </i>
    <i>
      <x v="56"/>
      <x/>
    </i>
    <i r="1" i="1">
      <x v="1"/>
    </i>
    <i r="1" i="2">
      <x v="2"/>
    </i>
    <i r="1" i="3">
      <x v="3"/>
    </i>
    <i>
      <x v="57"/>
      <x/>
    </i>
    <i r="1" i="1">
      <x v="1"/>
    </i>
    <i r="1" i="2">
      <x v="2"/>
    </i>
    <i r="1" i="3">
      <x v="3"/>
    </i>
    <i t="grand">
      <x/>
    </i>
    <i t="grand" i="1">
      <x/>
    </i>
    <i t="grand" i="2">
      <x/>
    </i>
    <i t="grand" i="3">
      <x/>
    </i>
  </colItems>
  <dataFields count="4">
    <dataField name="Sum of Homes RFS (cum)" fld="8" baseField="0" baseItem="0"/>
    <dataField name="Sum of Homes RFS (prev)" fld="9" baseField="0" baseItem="0"/>
    <dataField name="Sum of Homes RFS" fld="10" baseField="0" baseItem="0"/>
    <dataField name="Sum of MDU Passed (cum)" fld="23" baseField="0" baseItem="0"/>
  </dataFields>
  <chartFormats count="103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0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0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3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4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4"/>
          </reference>
        </references>
      </pivotArea>
    </chartFormat>
    <chartFormat chart="3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5"/>
          </reference>
        </references>
      </pivotArea>
    </chartFormat>
    <chartFormat chart="3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3" format="2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chartFormat>
    <chartFormat chart="3" format="22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9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6"/>
          </reference>
        </references>
      </pivotArea>
    </chartFormat>
    <chartFormat chart="3" format="26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6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8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8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9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9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0"/>
          </reference>
        </references>
      </pivotArea>
    </chartFormat>
    <chartFormat chart="3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7"/>
          </reference>
        </references>
      </pivotArea>
    </chartFormat>
    <chartFormat chart="3" format="4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7"/>
          </reference>
        </references>
      </pivotArea>
    </chartFormat>
    <chartFormat chart="3" format="42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7"/>
          </reference>
        </references>
      </pivotArea>
    </chartFormat>
    <chartFormat chart="3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3" format="4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chartFormat>
    <chartFormat chart="3" format="46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8"/>
          </reference>
        </references>
      </pivotArea>
    </chartFormat>
    <chartFormat chart="3" format="4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0"/>
          </reference>
        </references>
      </pivotArea>
    </chartFormat>
    <chartFormat chart="3" format="49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7"/>
          </reference>
        </references>
      </pivotArea>
    </chartFormat>
    <chartFormat chart="3" format="5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8"/>
          </reference>
        </references>
      </pivotArea>
    </chartFormat>
    <chartFormat chart="3" format="51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3" format="5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0"/>
          </reference>
        </references>
      </pivotArea>
    </chartFormat>
    <chartFormat chart="3" format="53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3"/>
          </reference>
        </references>
      </pivotArea>
    </chartFormat>
    <chartFormat chart="3" format="5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4"/>
          </reference>
        </references>
      </pivotArea>
    </chartFormat>
    <chartFormat chart="3" format="55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5"/>
          </reference>
        </references>
      </pivotArea>
    </chartFormat>
    <chartFormat chart="3" format="5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9"/>
          </reference>
        </references>
      </pivotArea>
    </chartFormat>
    <chartFormat chart="3" format="57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6"/>
          </reference>
        </references>
      </pivotArea>
    </chartFormat>
    <chartFormat chart="3" format="5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8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9"/>
          </reference>
        </references>
      </pivotArea>
    </chartFormat>
    <chartFormat chart="3" format="60">
      <pivotArea type="data" outline="0" fieldPosition="0">
        <references count="3">
          <reference field="4294967294" count="1" selected="0">
            <x v="1"/>
          </reference>
          <reference field="2" count="1" selected="0">
            <x v="40"/>
          </reference>
          <reference field="3" count="1" selected="0">
            <x v="2"/>
          </reference>
        </references>
      </pivotArea>
    </chartFormat>
    <chartFormat chart="3" format="61">
      <pivotArea type="data" outline="0" fieldPosition="0">
        <references count="3">
          <reference field="4294967294" count="1" selected="0">
            <x v="1"/>
          </reference>
          <reference field="2" count="1" selected="0">
            <x v="28"/>
          </reference>
          <reference field="3" count="1" selected="0">
            <x v="2"/>
          </reference>
        </references>
      </pivotArea>
    </chartFormat>
    <chartFormat chart="3" format="62">
      <pivotArea type="data" outline="0" fieldPosition="0">
        <references count="3">
          <reference field="4294967294" count="1" selected="0">
            <x v="0"/>
          </reference>
          <reference field="2" count="1" selected="0">
            <x v="47"/>
          </reference>
          <reference field="3" count="1" selected="0">
            <x v="2"/>
          </reference>
        </references>
      </pivotArea>
    </chartFormat>
    <chartFormat chart="3" format="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7"/>
          </reference>
        </references>
      </pivotArea>
    </chartFormat>
    <chartFormat chart="3" format="64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7"/>
          </reference>
        </references>
      </pivotArea>
    </chartFormat>
    <chartFormat chart="3" format="6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7"/>
          </reference>
        </references>
      </pivotArea>
    </chartFormat>
    <chartFormat chart="3" format="6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7"/>
          </reference>
        </references>
      </pivotArea>
    </chartFormat>
    <chartFormat chart="3" format="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68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3" format="6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  <chartFormat chart="3" format="7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"/>
          </reference>
        </references>
      </pivotArea>
    </chartFormat>
    <chartFormat chart="3" format="7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3" format="72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3" format="7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6"/>
          </reference>
        </references>
      </pivotArea>
    </chartFormat>
    <chartFormat chart="3" format="7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6"/>
          </reference>
        </references>
      </pivotArea>
    </chartFormat>
    <chartFormat chart="3" format="7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3" format="76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chartFormat>
    <chartFormat chart="3" format="7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2"/>
          </reference>
        </references>
      </pivotArea>
    </chartFormat>
    <chartFormat chart="3" format="7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2"/>
          </reference>
        </references>
      </pivotArea>
    </chartFormat>
    <chartFormat chart="3" format="7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3" format="80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chartFormat>
    <chartFormat chart="3" format="8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0"/>
          </reference>
        </references>
      </pivotArea>
    </chartFormat>
    <chartFormat chart="3" format="8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0"/>
          </reference>
        </references>
      </pivotArea>
    </chartFormat>
    <chartFormat chart="3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3" format="84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4"/>
          </reference>
        </references>
      </pivotArea>
    </chartFormat>
    <chartFormat chart="3" format="8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4"/>
          </reference>
        </references>
      </pivotArea>
    </chartFormat>
    <chartFormat chart="3" format="8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4"/>
          </reference>
        </references>
      </pivotArea>
    </chartFormat>
    <chartFormat chart="3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3" format="88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1"/>
          </reference>
        </references>
      </pivotArea>
    </chartFormat>
    <chartFormat chart="3" format="8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1"/>
          </reference>
        </references>
      </pivotArea>
    </chartFormat>
    <chartFormat chart="3" format="9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1"/>
          </reference>
        </references>
      </pivotArea>
    </chartFormat>
    <chartFormat chart="3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3" format="92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6"/>
          </reference>
        </references>
      </pivotArea>
    </chartFormat>
    <chartFormat chart="3" format="9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6"/>
          </reference>
        </references>
      </pivotArea>
    </chartFormat>
    <chartFormat chart="3" format="9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6"/>
          </reference>
        </references>
      </pivotArea>
    </chartFormat>
    <chartFormat chart="3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3" format="96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7"/>
          </reference>
        </references>
      </pivotArea>
    </chartFormat>
    <chartFormat chart="3" format="9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7"/>
          </reference>
        </references>
      </pivotArea>
    </chartFormat>
    <chartFormat chart="3" format="9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7"/>
          </reference>
        </references>
      </pivotArea>
    </chartFormat>
    <chartFormat chart="3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3" format="100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4"/>
          </reference>
        </references>
      </pivotArea>
    </chartFormat>
    <chartFormat chart="3" format="10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4"/>
          </reference>
        </references>
      </pivotArea>
    </chartFormat>
    <chartFormat chart="3" format="10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4"/>
          </reference>
        </references>
      </pivotArea>
    </chartFormat>
    <chartFormat chart="3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3" format="104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6"/>
          </reference>
        </references>
      </pivotArea>
    </chartFormat>
    <chartFormat chart="3" format="10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6"/>
          </reference>
        </references>
      </pivotArea>
    </chartFormat>
    <chartFormat chart="3" format="10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6"/>
          </reference>
        </references>
      </pivotArea>
    </chartFormat>
    <chartFormat chart="3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3"/>
          </reference>
        </references>
      </pivotArea>
    </chartFormat>
    <chartFormat chart="3" format="108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3"/>
          </reference>
        </references>
      </pivotArea>
    </chartFormat>
    <chartFormat chart="3" format="10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3"/>
          </reference>
        </references>
      </pivotArea>
    </chartFormat>
    <chartFormat chart="3" format="11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3"/>
          </reference>
        </references>
      </pivotArea>
    </chartFormat>
    <chartFormat chart="3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6"/>
          </reference>
        </references>
      </pivotArea>
    </chartFormat>
    <chartFormat chart="3" format="112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6"/>
          </reference>
        </references>
      </pivotArea>
    </chartFormat>
    <chartFormat chart="3" format="11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6"/>
          </reference>
        </references>
      </pivotArea>
    </chartFormat>
    <chartFormat chart="3" format="11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FD7EBC-8A9A-44C5-AEAE-874E0B55D917}" name="PivotTable6" cacheId="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gridDropZones="1" multipleFieldFilters="0" chartFormat="7">
  <location ref="A3:AS7" firstHeaderRow="1" firstDataRow="3" firstDataCol="1"/>
  <pivotFields count="24">
    <pivotField compact="0" outline="0" showAll="0"/>
    <pivotField compact="0" outline="0" showAll="0"/>
    <pivotField axis="axisCol" compact="0" outline="0" showAll="0">
      <items count="59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0"/>
        <item x="51"/>
        <item x="52"/>
        <item x="53"/>
        <item x="54"/>
        <item x="55"/>
        <item x="56"/>
        <item x="57"/>
        <item x="5"/>
        <item x="6"/>
        <item x="7"/>
        <item x="8"/>
        <item t="default"/>
      </items>
    </pivotField>
    <pivotField axis="axisRow" compact="0" outline="0" showAll="0">
      <items count="6">
        <item h="1" x="4"/>
        <item h="1" x="1"/>
        <item h="1" x="0"/>
        <item h="1" x="2"/>
        <item x="3"/>
        <item t="default"/>
      </items>
    </pivotField>
    <pivotField compact="0" numFmtId="37" outline="0" showAll="0"/>
    <pivotField compact="0" numFmtId="37" outline="0" showAll="0"/>
    <pivotField compact="0" numFmtId="37" outline="0" showAll="0"/>
    <pivotField compact="0" outline="0" showAll="0"/>
    <pivotField compact="0" numFmtId="37" outline="0" showAll="0"/>
    <pivotField compact="0" numFmtId="37" outline="0" showAll="0"/>
    <pivotField compact="0" numFmtId="37" outline="0" showAll="0"/>
    <pivotField compact="0" outline="0" showAll="0"/>
    <pivotField dataField="1" compact="0" numFmtId="37" outline="0" showAll="0"/>
    <pivotField dataField="1" compact="0" numFmtId="37" outline="0" showAll="0"/>
    <pivotField dataField="1" compact="0" numFmtId="37" outline="0" showAll="0"/>
    <pivotField compact="0" outline="0" showAll="0"/>
    <pivotField compact="0" numFmtId="37" outline="0" showAll="0"/>
    <pivotField compact="0" numFmtId="37" outline="0" showAll="0"/>
    <pivotField compact="0" numFmtId="37" outline="0" showAll="0"/>
    <pivotField compact="0" numFmtId="37" outline="0" showAll="0"/>
    <pivotField compact="0" numFmtId="37" outline="0" showAll="0"/>
    <pivotField compact="0" numFmtId="37" outline="0" showAll="0"/>
    <pivotField compact="0" numFmtId="37" outline="0" showAll="0"/>
    <pivotField dataField="1" compact="0" numFmtId="37" outline="0" showAll="0"/>
  </pivotFields>
  <rowFields count="1">
    <field x="3"/>
  </rowFields>
  <rowItems count="2">
    <i>
      <x v="4"/>
    </i>
    <i t="grand">
      <x/>
    </i>
  </rowItems>
  <colFields count="2">
    <field x="2"/>
    <field x="-2"/>
  </colFields>
  <colItems count="44">
    <i>
      <x v="3"/>
      <x/>
    </i>
    <i r="1" i="1">
      <x v="1"/>
    </i>
    <i r="1" i="2">
      <x v="2"/>
    </i>
    <i r="1" i="3">
      <x v="3"/>
    </i>
    <i>
      <x v="16"/>
      <x/>
    </i>
    <i r="1" i="1">
      <x v="1"/>
    </i>
    <i r="1" i="2">
      <x v="2"/>
    </i>
    <i r="1" i="3">
      <x v="3"/>
    </i>
    <i>
      <x v="25"/>
      <x/>
    </i>
    <i r="1" i="1">
      <x v="1"/>
    </i>
    <i r="1" i="2">
      <x v="2"/>
    </i>
    <i r="1" i="3">
      <x v="3"/>
    </i>
    <i>
      <x v="35"/>
      <x/>
    </i>
    <i r="1" i="1">
      <x v="1"/>
    </i>
    <i r="1" i="2">
      <x v="2"/>
    </i>
    <i r="1" i="3">
      <x v="3"/>
    </i>
    <i>
      <x v="39"/>
      <x/>
    </i>
    <i r="1" i="1">
      <x v="1"/>
    </i>
    <i r="1" i="2">
      <x v="2"/>
    </i>
    <i r="1" i="3">
      <x v="3"/>
    </i>
    <i>
      <x v="43"/>
      <x/>
    </i>
    <i r="1" i="1">
      <x v="1"/>
    </i>
    <i r="1" i="2">
      <x v="2"/>
    </i>
    <i r="1" i="3">
      <x v="3"/>
    </i>
    <i>
      <x v="49"/>
      <x/>
    </i>
    <i r="1" i="1">
      <x v="1"/>
    </i>
    <i r="1" i="2">
      <x v="2"/>
    </i>
    <i r="1" i="3">
      <x v="3"/>
    </i>
    <i>
      <x v="50"/>
      <x/>
    </i>
    <i r="1" i="1">
      <x v="1"/>
    </i>
    <i r="1" i="2">
      <x v="2"/>
    </i>
    <i r="1" i="3">
      <x v="3"/>
    </i>
    <i>
      <x v="52"/>
      <x/>
    </i>
    <i r="1" i="1">
      <x v="1"/>
    </i>
    <i r="1" i="2">
      <x v="2"/>
    </i>
    <i r="1" i="3">
      <x v="3"/>
    </i>
    <i>
      <x v="54"/>
      <x/>
    </i>
    <i r="1" i="1">
      <x v="1"/>
    </i>
    <i r="1" i="2">
      <x v="2"/>
    </i>
    <i r="1" i="3">
      <x v="3"/>
    </i>
    <i t="grand">
      <x/>
    </i>
    <i t="grand" i="1">
      <x/>
    </i>
    <i t="grand" i="2">
      <x/>
    </i>
    <i t="grand" i="3">
      <x/>
    </i>
  </colItems>
  <dataFields count="4">
    <dataField name="Sum of Homes Passed (cum)" fld="12" baseField="0" baseItem="0"/>
    <dataField name="Sum of MDU Passed (cum)" fld="23" baseField="0" baseItem="0"/>
    <dataField name="Sum of Homes Passed (prev)" fld="13" baseField="0" baseItem="0"/>
    <dataField name="Sum of Homes Passed" fld="14" baseField="0" baseItem="0"/>
  </dataFields>
  <chartFormats count="24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0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6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7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8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9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0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1"/>
          </reference>
        </references>
      </pivotArea>
    </chartFormat>
    <chartFormat chart="1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2"/>
          </reference>
        </references>
      </pivotArea>
    </chartFormat>
    <chartFormat chart="1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3"/>
          </reference>
        </references>
      </pivotArea>
    </chartFormat>
    <chartFormat chart="1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" format="5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4"/>
          </reference>
        </references>
      </pivotArea>
    </chartFormat>
    <chartFormat chart="1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" format="6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5"/>
          </reference>
        </references>
      </pivotArea>
    </chartFormat>
    <chartFormat chart="1" format="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" format="6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6"/>
          </reference>
        </references>
      </pivotArea>
    </chartFormat>
    <chartFormat chart="1" format="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" format="7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7"/>
          </reference>
        </references>
      </pivotArea>
    </chartFormat>
    <chartFormat chart="1" format="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" format="7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8"/>
          </reference>
        </references>
      </pivotArea>
    </chartFormat>
    <chartFormat chart="1" format="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" format="7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9"/>
          </reference>
        </references>
      </pivotArea>
    </chartFormat>
    <chartFormat chart="1" format="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" format="8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0"/>
          </reference>
        </references>
      </pivotArea>
    </chartFormat>
    <chartFormat chart="1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" format="8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1"/>
          </reference>
        </references>
      </pivotArea>
    </chartFormat>
    <chartFormat chart="1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" format="9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2"/>
          </reference>
        </references>
      </pivotArea>
    </chartFormat>
    <chartFormat chart="1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" format="9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3"/>
          </reference>
        </references>
      </pivotArea>
    </chartFormat>
    <chartFormat chart="1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" format="9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4"/>
          </reference>
        </references>
      </pivotArea>
    </chartFormat>
    <chartFormat chart="1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" format="10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5"/>
          </reference>
        </references>
      </pivotArea>
    </chartFormat>
    <chartFormat chart="1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" format="10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6"/>
          </reference>
        </references>
      </pivotArea>
    </chartFormat>
    <chartFormat chart="1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" format="11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7"/>
          </reference>
        </references>
      </pivotArea>
    </chartFormat>
    <chartFormat chart="1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" format="11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8"/>
          </reference>
        </references>
      </pivotArea>
    </chartFormat>
    <chartFormat chart="1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1" format="11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9"/>
          </reference>
        </references>
      </pivotArea>
    </chartFormat>
    <chartFormat chart="1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" format="12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0"/>
          </reference>
        </references>
      </pivotArea>
    </chartFormat>
    <chartFormat chart="1" format="1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" format="12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1"/>
          </reference>
        </references>
      </pivotArea>
    </chartFormat>
    <chartFormat chart="1" format="1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1" format="13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2"/>
          </reference>
        </references>
      </pivotArea>
    </chartFormat>
    <chartFormat chart="1" format="1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" format="13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3"/>
          </reference>
        </references>
      </pivotArea>
    </chartFormat>
    <chartFormat chart="1" format="1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1" format="13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4"/>
          </reference>
        </references>
      </pivotArea>
    </chartFormat>
    <chartFormat chart="1" format="1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" format="14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5"/>
          </reference>
        </references>
      </pivotArea>
    </chartFormat>
    <chartFormat chart="1" format="1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" format="14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6"/>
          </reference>
        </references>
      </pivotArea>
    </chartFormat>
    <chartFormat chart="1" format="1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" format="15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7"/>
          </reference>
        </references>
      </pivotArea>
    </chartFormat>
    <chartFormat chart="1" format="1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" format="15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8"/>
          </reference>
        </references>
      </pivotArea>
    </chartFormat>
    <chartFormat chart="1" format="1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" format="15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9"/>
          </reference>
        </references>
      </pivotArea>
    </chartFormat>
    <chartFormat chart="1" format="1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" format="16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0"/>
          </reference>
        </references>
      </pivotArea>
    </chartFormat>
    <chartFormat chart="1" format="1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" format="16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1"/>
          </reference>
        </references>
      </pivotArea>
    </chartFormat>
    <chartFormat chart="1" format="1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2"/>
          </reference>
        </references>
      </pivotArea>
    </chartFormat>
    <chartFormat chart="1" format="17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2"/>
          </reference>
        </references>
      </pivotArea>
    </chartFormat>
    <chartFormat chart="1" format="1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" format="17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3"/>
          </reference>
        </references>
      </pivotArea>
    </chartFormat>
    <chartFormat chart="1" format="1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chartFormat>
    <chartFormat chart="1" format="17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4"/>
          </reference>
        </references>
      </pivotArea>
    </chartFormat>
    <chartFormat chart="1" format="18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5"/>
          </reference>
        </references>
      </pivotArea>
    </chartFormat>
    <chartFormat chart="1" format="18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5"/>
          </reference>
        </references>
      </pivotArea>
    </chartFormat>
    <chartFormat chart="1" format="1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chartFormat>
    <chartFormat chart="1" format="18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6"/>
          </reference>
        </references>
      </pivotArea>
    </chartFormat>
    <chartFormat chart="1" format="1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7"/>
          </reference>
        </references>
      </pivotArea>
    </chartFormat>
    <chartFormat chart="1" format="19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7"/>
          </reference>
        </references>
      </pivotArea>
    </chartFormat>
    <chartFormat chart="1" format="1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chartFormat>
    <chartFormat chart="1" format="19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8"/>
          </reference>
        </references>
      </pivotArea>
    </chartFormat>
    <chartFormat chart="1" format="1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9"/>
          </reference>
        </references>
      </pivotArea>
    </chartFormat>
    <chartFormat chart="1" format="19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9"/>
          </reference>
        </references>
      </pivotArea>
    </chartFormat>
    <chartFormat chart="1" format="2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0"/>
          </reference>
        </references>
      </pivotArea>
    </chartFormat>
    <chartFormat chart="1" format="20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0"/>
          </reference>
        </references>
      </pivotArea>
    </chartFormat>
    <chartFormat chart="1" format="2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1"/>
          </reference>
        </references>
      </pivotArea>
    </chartFormat>
    <chartFormat chart="1" format="20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1"/>
          </reference>
        </references>
      </pivotArea>
    </chartFormat>
    <chartFormat chart="1" format="2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2"/>
          </reference>
        </references>
      </pivotArea>
    </chartFormat>
    <chartFormat chart="1" format="21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2"/>
          </reference>
        </references>
      </pivotArea>
    </chartFormat>
    <chartFormat chart="1" format="2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3"/>
          </reference>
        </references>
      </pivotArea>
    </chartFormat>
    <chartFormat chart="1" format="21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3"/>
          </reference>
        </references>
      </pivotArea>
    </chartFormat>
    <chartFormat chart="1" format="2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4"/>
          </reference>
        </references>
      </pivotArea>
    </chartFormat>
    <chartFormat chart="1" format="21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4"/>
          </reference>
        </references>
      </pivotArea>
    </chartFormat>
    <chartFormat chart="1" format="2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chartFormat>
    <chartFormat chart="1" format="22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5"/>
          </reference>
        </references>
      </pivotArea>
    </chartFormat>
    <chartFormat chart="1" format="2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6"/>
          </reference>
        </references>
      </pivotArea>
    </chartFormat>
    <chartFormat chart="1" format="22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6"/>
          </reference>
        </references>
      </pivotArea>
    </chartFormat>
    <chartFormat chart="1" format="2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7"/>
          </reference>
        </references>
      </pivotArea>
    </chartFormat>
    <chartFormat chart="1" format="23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7"/>
          </reference>
        </references>
      </pivotArea>
    </chartFormat>
    <chartFormat chart="1" format="24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6"/>
          </reference>
        </references>
      </pivotArea>
    </chartFormat>
    <chartFormat chart="1" format="246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3"/>
          </reference>
        </references>
      </pivotArea>
    </chartFormat>
    <chartFormat chart="1" format="24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6"/>
          </reference>
        </references>
      </pivotArea>
    </chartFormat>
    <chartFormat chart="1" format="248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7"/>
          </reference>
        </references>
      </pivotArea>
    </chartFormat>
    <chartFormat chart="1" format="2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1" format="250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1" format="2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chartFormat>
    <chartFormat chart="1" format="252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chartFormat>
    <chartFormat chart="1" format="2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4"/>
          </reference>
        </references>
      </pivotArea>
    </chartFormat>
    <chartFormat chart="1" format="254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1"/>
          </reference>
        </references>
      </pivotArea>
    </chartFormat>
    <chartFormat chart="1" format="2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6"/>
          </reference>
        </references>
      </pivotArea>
    </chartFormat>
    <chartFormat chart="1" format="256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7"/>
          </reference>
        </references>
      </pivotArea>
    </chartFormat>
    <chartFormat chart="1" format="2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4"/>
          </reference>
        </references>
      </pivotArea>
    </chartFormat>
    <chartFormat chart="1" format="258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3"/>
          </reference>
        </references>
      </pivotArea>
    </chartFormat>
    <chartFormat chart="1" format="25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6"/>
          </reference>
        </references>
      </pivotArea>
    </chartFormat>
    <chartFormat chart="1" format="260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7"/>
          </reference>
        </references>
      </pivotArea>
    </chartFormat>
    <chartFormat chart="1" format="26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"/>
          </reference>
        </references>
      </pivotArea>
    </chartFormat>
    <chartFormat chart="1" format="262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6"/>
          </reference>
        </references>
      </pivotArea>
    </chartFormat>
    <chartFormat chart="1" format="26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2"/>
          </reference>
        </references>
      </pivotArea>
    </chartFormat>
    <chartFormat chart="1" format="264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0"/>
          </reference>
        </references>
      </pivotArea>
    </chartFormat>
    <chartFormat chart="1" format="26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4"/>
          </reference>
        </references>
      </pivotArea>
    </chartFormat>
    <chartFormat chart="1" format="266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1"/>
          </reference>
        </references>
      </pivotArea>
    </chartFormat>
    <chartFormat chart="1" format="26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6"/>
          </reference>
        </references>
      </pivotArea>
    </chartFormat>
    <chartFormat chart="1" format="268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7"/>
          </reference>
        </references>
      </pivotArea>
    </chartFormat>
    <chartFormat chart="1" format="26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4"/>
          </reference>
        </references>
      </pivotArea>
    </chartFormat>
    <chartFormat chart="1" format="270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6"/>
          </reference>
        </references>
      </pivotArea>
    </chartFormat>
    <chartFormat chart="1" format="27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1" format="272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"/>
          </reference>
        </references>
      </pivotArea>
    </chartFormat>
    <chartFormat chart="1" format="27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chartFormat>
    <chartFormat chart="1" format="274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6"/>
          </reference>
        </references>
      </pivotArea>
    </chartFormat>
    <chartFormat chart="1" format="27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5"/>
          </reference>
        </references>
      </pivotArea>
    </chartFormat>
    <chartFormat chart="1" format="276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5"/>
          </reference>
        </references>
      </pivotArea>
    </chartFormat>
    <chartFormat chart="1" format="27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5"/>
          </reference>
        </references>
      </pivotArea>
    </chartFormat>
    <chartFormat chart="1" format="278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5"/>
          </reference>
        </references>
      </pivotArea>
    </chartFormat>
    <chartFormat chart="1" format="27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9"/>
          </reference>
        </references>
      </pivotArea>
    </chartFormat>
    <chartFormat chart="1" format="280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9"/>
          </reference>
        </references>
      </pivotArea>
    </chartFormat>
    <chartFormat chart="1" format="28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3"/>
          </reference>
        </references>
      </pivotArea>
    </chartFormat>
    <chartFormat chart="1" format="282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3"/>
          </reference>
        </references>
      </pivotArea>
    </chartFormat>
    <chartFormat chart="1" format="28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9"/>
          </reference>
        </references>
      </pivotArea>
    </chartFormat>
    <chartFormat chart="1" format="284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9"/>
          </reference>
        </references>
      </pivotArea>
    </chartFormat>
    <chartFormat chart="1" format="28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0"/>
          </reference>
        </references>
      </pivotArea>
    </chartFormat>
    <chartFormat chart="1" format="286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0"/>
          </reference>
        </references>
      </pivotArea>
    </chartFormat>
    <chartFormat chart="1" format="28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2"/>
          </reference>
        </references>
      </pivotArea>
    </chartFormat>
    <chartFormat chart="1" format="288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2"/>
          </reference>
        </references>
      </pivotArea>
    </chartFormat>
    <chartFormat chart="1" format="28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4"/>
          </reference>
        </references>
      </pivotArea>
    </chartFormat>
    <chartFormat chart="1" format="290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4"/>
          </reference>
        </references>
      </pivotArea>
    </chartFormat>
    <chartFormat chart="4" format="2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292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29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"/>
          </reference>
        </references>
      </pivotArea>
    </chartFormat>
    <chartFormat chart="4" format="29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chartFormat>
    <chartFormat chart="4" format="29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6"/>
          </reference>
        </references>
      </pivotArea>
    </chartFormat>
    <chartFormat chart="4" format="29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6"/>
          </reference>
        </references>
      </pivotArea>
    </chartFormat>
    <chartFormat chart="4" format="2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4" format="300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5"/>
          </reference>
        </references>
      </pivotArea>
    </chartFormat>
    <chartFormat chart="4" format="30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5"/>
          </reference>
        </references>
      </pivotArea>
    </chartFormat>
    <chartFormat chart="4" format="30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5"/>
          </reference>
        </references>
      </pivotArea>
    </chartFormat>
    <chartFormat chart="4" format="3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4" format="304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5"/>
          </reference>
        </references>
      </pivotArea>
    </chartFormat>
    <chartFormat chart="4" format="30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5"/>
          </reference>
        </references>
      </pivotArea>
    </chartFormat>
    <chartFormat chart="4" format="30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5"/>
          </reference>
        </references>
      </pivotArea>
    </chartFormat>
    <chartFormat chart="4" format="3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4" format="308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9"/>
          </reference>
        </references>
      </pivotArea>
    </chartFormat>
    <chartFormat chart="4" format="30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9"/>
          </reference>
        </references>
      </pivotArea>
    </chartFormat>
    <chartFormat chart="4" format="31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9"/>
          </reference>
        </references>
      </pivotArea>
    </chartFormat>
    <chartFormat chart="4" format="3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4" format="312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3"/>
          </reference>
        </references>
      </pivotArea>
    </chartFormat>
    <chartFormat chart="4" format="31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3"/>
          </reference>
        </references>
      </pivotArea>
    </chartFormat>
    <chartFormat chart="4" format="31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3"/>
          </reference>
        </references>
      </pivotArea>
    </chartFormat>
    <chartFormat chart="4" format="3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9"/>
          </reference>
        </references>
      </pivotArea>
    </chartFormat>
    <chartFormat chart="4" format="316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9"/>
          </reference>
        </references>
      </pivotArea>
    </chartFormat>
    <chartFormat chart="4" format="31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9"/>
          </reference>
        </references>
      </pivotArea>
    </chartFormat>
    <chartFormat chart="4" format="31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9"/>
          </reference>
        </references>
      </pivotArea>
    </chartFormat>
    <chartFormat chart="4" format="3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0"/>
          </reference>
        </references>
      </pivotArea>
    </chartFormat>
    <chartFormat chart="4" format="320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0"/>
          </reference>
        </references>
      </pivotArea>
    </chartFormat>
    <chartFormat chart="4" format="32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0"/>
          </reference>
        </references>
      </pivotArea>
    </chartFormat>
    <chartFormat chart="4" format="32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0"/>
          </reference>
        </references>
      </pivotArea>
    </chartFormat>
    <chartFormat chart="4" format="3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2"/>
          </reference>
        </references>
      </pivotArea>
    </chartFormat>
    <chartFormat chart="4" format="324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2"/>
          </reference>
        </references>
      </pivotArea>
    </chartFormat>
    <chartFormat chart="4" format="32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2"/>
          </reference>
        </references>
      </pivotArea>
    </chartFormat>
    <chartFormat chart="4" format="32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2"/>
          </reference>
        </references>
      </pivotArea>
    </chartFormat>
    <chartFormat chart="4" format="3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4"/>
          </reference>
        </references>
      </pivotArea>
    </chartFormat>
    <chartFormat chart="4" format="328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4"/>
          </reference>
        </references>
      </pivotArea>
    </chartFormat>
    <chartFormat chart="4" format="32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4"/>
          </reference>
        </references>
      </pivotArea>
    </chartFormat>
    <chartFormat chart="4" format="33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4"/>
          </reference>
        </references>
      </pivotArea>
    </chartFormat>
    <chartFormat chart="5" format="3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32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5" format="33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"/>
          </reference>
        </references>
      </pivotArea>
    </chartFormat>
    <chartFormat chart="5" format="33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"/>
          </reference>
        </references>
      </pivotArea>
    </chartFormat>
    <chartFormat chart="5" format="3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5" format="336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chartFormat>
    <chartFormat chart="5" format="33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16"/>
          </reference>
        </references>
      </pivotArea>
    </chartFormat>
    <chartFormat chart="5" format="33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16"/>
          </reference>
        </references>
      </pivotArea>
    </chartFormat>
    <chartFormat chart="5" format="3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5" format="340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5"/>
          </reference>
        </references>
      </pivotArea>
    </chartFormat>
    <chartFormat chart="5" format="34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25"/>
          </reference>
        </references>
      </pivotArea>
    </chartFormat>
    <chartFormat chart="5" format="34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25"/>
          </reference>
        </references>
      </pivotArea>
    </chartFormat>
    <chartFormat chart="5" format="3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5" format="344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5"/>
          </reference>
        </references>
      </pivotArea>
    </chartFormat>
    <chartFormat chart="5" format="34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5"/>
          </reference>
        </references>
      </pivotArea>
    </chartFormat>
    <chartFormat chart="5" format="34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5"/>
          </reference>
        </references>
      </pivotArea>
    </chartFormat>
    <chartFormat chart="5" format="3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5" format="348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9"/>
          </reference>
        </references>
      </pivotArea>
    </chartFormat>
    <chartFormat chart="5" format="34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39"/>
          </reference>
        </references>
      </pivotArea>
    </chartFormat>
    <chartFormat chart="5" format="35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39"/>
          </reference>
        </references>
      </pivotArea>
    </chartFormat>
    <chartFormat chart="5" format="3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5" format="352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3"/>
          </reference>
        </references>
      </pivotArea>
    </chartFormat>
    <chartFormat chart="5" format="353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3"/>
          </reference>
        </references>
      </pivotArea>
    </chartFormat>
    <chartFormat chart="5" format="354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3"/>
          </reference>
        </references>
      </pivotArea>
    </chartFormat>
    <chartFormat chart="5" format="3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9"/>
          </reference>
        </references>
      </pivotArea>
    </chartFormat>
    <chartFormat chart="5" format="356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9"/>
          </reference>
        </references>
      </pivotArea>
    </chartFormat>
    <chartFormat chart="5" format="357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49"/>
          </reference>
        </references>
      </pivotArea>
    </chartFormat>
    <chartFormat chart="5" format="358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49"/>
          </reference>
        </references>
      </pivotArea>
    </chartFormat>
    <chartFormat chart="5" format="35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0"/>
          </reference>
        </references>
      </pivotArea>
    </chartFormat>
    <chartFormat chart="5" format="360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0"/>
          </reference>
        </references>
      </pivotArea>
    </chartFormat>
    <chartFormat chart="5" format="361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0"/>
          </reference>
        </references>
      </pivotArea>
    </chartFormat>
    <chartFormat chart="5" format="362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0"/>
          </reference>
        </references>
      </pivotArea>
    </chartFormat>
    <chartFormat chart="5" format="36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2"/>
          </reference>
        </references>
      </pivotArea>
    </chartFormat>
    <chartFormat chart="5" format="364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2"/>
          </reference>
        </references>
      </pivotArea>
    </chartFormat>
    <chartFormat chart="5" format="365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2"/>
          </reference>
        </references>
      </pivotArea>
    </chartFormat>
    <chartFormat chart="5" format="366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2"/>
          </reference>
        </references>
      </pivotArea>
    </chartFormat>
    <chartFormat chart="5" format="36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4"/>
          </reference>
        </references>
      </pivotArea>
    </chartFormat>
    <chartFormat chart="5" format="368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4"/>
          </reference>
        </references>
      </pivotArea>
    </chartFormat>
    <chartFormat chart="5" format="369" series="1">
      <pivotArea type="data" outline="0" fieldPosition="0">
        <references count="2">
          <reference field="4294967294" count="1" selected="0">
            <x v="2"/>
          </reference>
          <reference field="2" count="1" selected="0">
            <x v="54"/>
          </reference>
        </references>
      </pivotArea>
    </chartFormat>
    <chartFormat chart="5" format="370" series="1">
      <pivotArea type="data" outline="0" fieldPosition="0">
        <references count="2">
          <reference field="4294967294" count="1" selected="0">
            <x v="3"/>
          </reference>
          <reference field="2" count="1" selected="0">
            <x v="5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A8329-1B41-4646-AF23-CCF5A4FCDAB8}">
  <sheetPr codeName="Sheet1"/>
  <dimension ref="A3:D10"/>
  <sheetViews>
    <sheetView topLeftCell="A7" workbookViewId="0">
      <selection activeCell="K20" sqref="K20"/>
    </sheetView>
  </sheetViews>
  <sheetFormatPr defaultRowHeight="15"/>
  <cols>
    <col min="1" max="1" width="18.85546875" bestFit="1" customWidth="1"/>
    <col min="2" max="2" width="19" bestFit="1" customWidth="1"/>
    <col min="3" max="3" width="17.5703125" bestFit="1" customWidth="1"/>
    <col min="4" max="4" width="20.5703125" bestFit="1" customWidth="1"/>
    <col min="5" max="6" width="19.140625" bestFit="1" customWidth="1"/>
    <col min="7" max="7" width="11.28515625" bestFit="1" customWidth="1"/>
    <col min="8" max="59" width="6.85546875" bestFit="1" customWidth="1"/>
    <col min="60" max="60" width="11.28515625" bestFit="1" customWidth="1"/>
    <col min="61" max="117" width="22.28515625" bestFit="1" customWidth="1"/>
    <col min="118" max="118" width="27.28515625" bestFit="1" customWidth="1"/>
    <col min="119" max="119" width="25.140625" bestFit="1" customWidth="1"/>
  </cols>
  <sheetData>
    <row r="3" spans="1:4">
      <c r="B3" s="6" t="s">
        <v>254</v>
      </c>
    </row>
    <row r="4" spans="1:4">
      <c r="A4" s="6" t="s">
        <v>194</v>
      </c>
      <c r="B4" t="s">
        <v>262</v>
      </c>
      <c r="C4" t="s">
        <v>263</v>
      </c>
      <c r="D4" t="s">
        <v>264</v>
      </c>
    </row>
    <row r="5" spans="1:4">
      <c r="A5" t="s">
        <v>27</v>
      </c>
      <c r="B5" s="7">
        <v>284</v>
      </c>
      <c r="C5" s="7">
        <v>2626</v>
      </c>
      <c r="D5" s="7">
        <v>2910</v>
      </c>
    </row>
    <row r="6" spans="1:4">
      <c r="A6" t="s">
        <v>3</v>
      </c>
      <c r="B6" s="7">
        <v>70</v>
      </c>
      <c r="C6" s="7">
        <v>1004</v>
      </c>
      <c r="D6" s="7">
        <v>1074</v>
      </c>
    </row>
    <row r="7" spans="1:4">
      <c r="A7" t="s">
        <v>0</v>
      </c>
      <c r="B7" s="7">
        <v>397</v>
      </c>
      <c r="C7" s="7">
        <v>1366</v>
      </c>
      <c r="D7" s="7">
        <v>1763</v>
      </c>
    </row>
    <row r="8" spans="1:4">
      <c r="A8" t="s">
        <v>12</v>
      </c>
      <c r="B8" s="7">
        <v>-267</v>
      </c>
      <c r="C8" s="7">
        <v>746</v>
      </c>
      <c r="D8" s="7">
        <v>479</v>
      </c>
    </row>
    <row r="9" spans="1:4">
      <c r="A9" t="s">
        <v>15</v>
      </c>
      <c r="B9" s="7">
        <v>53</v>
      </c>
      <c r="C9" s="7">
        <v>301</v>
      </c>
      <c r="D9" s="7">
        <v>354</v>
      </c>
    </row>
    <row r="10" spans="1:4">
      <c r="A10" t="s">
        <v>253</v>
      </c>
      <c r="B10" s="7">
        <v>537</v>
      </c>
      <c r="C10" s="7">
        <v>6043</v>
      </c>
      <c r="D10" s="7">
        <v>6580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F6244-68EE-4093-A89E-0EBD1B02984E}">
  <sheetPr codeName="Sheet14"/>
  <dimension ref="A1:R18"/>
  <sheetViews>
    <sheetView workbookViewId="0">
      <selection activeCell="H18" sqref="H18"/>
    </sheetView>
  </sheetViews>
  <sheetFormatPr defaultRowHeight="15"/>
  <cols>
    <col min="1" max="1" width="19.85546875" bestFit="1" customWidth="1"/>
    <col min="2" max="2" width="14.7109375" bestFit="1" customWidth="1"/>
    <col min="3" max="3" width="14.85546875" bestFit="1" customWidth="1"/>
    <col min="4" max="4" width="12.7109375" bestFit="1" customWidth="1"/>
    <col min="5" max="5" width="16.85546875" bestFit="1" customWidth="1"/>
    <col min="6" max="6" width="17" bestFit="1" customWidth="1"/>
    <col min="7" max="7" width="12.7109375" bestFit="1" customWidth="1"/>
    <col min="8" max="8" width="20" bestFit="1" customWidth="1"/>
    <col min="9" max="9" width="20.140625" bestFit="1" customWidth="1"/>
    <col min="10" max="10" width="14.28515625" bestFit="1" customWidth="1"/>
    <col min="11" max="11" width="13.140625" bestFit="1" customWidth="1"/>
    <col min="12" max="13" width="12.7109375" bestFit="1" customWidth="1"/>
    <col min="14" max="14" width="15.5703125" bestFit="1" customWidth="1"/>
    <col min="15" max="15" width="13.7109375" bestFit="1" customWidth="1"/>
    <col min="16" max="16" width="13.42578125" bestFit="1" customWidth="1"/>
    <col min="17" max="17" width="14.5703125" bestFit="1" customWidth="1"/>
    <col min="18" max="18" width="18.5703125" bestFit="1" customWidth="1"/>
  </cols>
  <sheetData>
    <row r="1" spans="1:18">
      <c r="A1" s="20"/>
      <c r="B1" s="20" t="s">
        <v>174</v>
      </c>
      <c r="C1" s="20" t="s">
        <v>175</v>
      </c>
      <c r="D1" s="20" t="s">
        <v>176</v>
      </c>
      <c r="E1" s="20" t="s">
        <v>177</v>
      </c>
      <c r="F1" s="20" t="s">
        <v>178</v>
      </c>
      <c r="G1" s="20" t="s">
        <v>179</v>
      </c>
      <c r="H1" s="20" t="s">
        <v>180</v>
      </c>
      <c r="I1" s="20" t="s">
        <v>181</v>
      </c>
      <c r="J1" s="20" t="s">
        <v>182</v>
      </c>
      <c r="K1" s="20" t="s">
        <v>183</v>
      </c>
      <c r="L1" s="20" t="s">
        <v>184</v>
      </c>
      <c r="M1" s="20" t="s">
        <v>185</v>
      </c>
      <c r="N1" s="20" t="s">
        <v>186</v>
      </c>
      <c r="O1" s="20" t="s">
        <v>187</v>
      </c>
      <c r="P1" s="20" t="s">
        <v>188</v>
      </c>
      <c r="Q1" s="20" t="s">
        <v>189</v>
      </c>
      <c r="R1" s="20" t="s">
        <v>190</v>
      </c>
    </row>
    <row r="2" spans="1:18">
      <c r="A2" s="18" t="s">
        <v>174</v>
      </c>
      <c r="B2" s="18">
        <v>1</v>
      </c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8">
      <c r="A3" s="18" t="s">
        <v>175</v>
      </c>
      <c r="B3" s="18">
        <v>0.99933803317819214</v>
      </c>
      <c r="C3" s="18">
        <v>1</v>
      </c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</row>
    <row r="4" spans="1:18">
      <c r="A4" s="18" t="s">
        <v>176</v>
      </c>
      <c r="B4" s="18">
        <v>-4.1451312470307984E-2</v>
      </c>
      <c r="C4" s="18">
        <v>-7.7772482385867994E-2</v>
      </c>
      <c r="D4" s="18">
        <v>1</v>
      </c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</row>
    <row r="5" spans="1:18">
      <c r="A5" s="18" t="s">
        <v>177</v>
      </c>
      <c r="B5" s="18">
        <v>0.80884735160012133</v>
      </c>
      <c r="C5" s="18">
        <v>0.81183945726885198</v>
      </c>
      <c r="D5" s="18">
        <v>-0.13040837464185956</v>
      </c>
      <c r="E5" s="18">
        <v>1</v>
      </c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</row>
    <row r="6" spans="1:18">
      <c r="A6" s="18" t="s">
        <v>178</v>
      </c>
      <c r="B6" s="18">
        <v>0.80755456783504331</v>
      </c>
      <c r="C6" s="18">
        <v>0.81055688122990299</v>
      </c>
      <c r="D6" s="18">
        <v>-0.1306116298293987</v>
      </c>
      <c r="E6" s="18">
        <v>0.99996817846094266</v>
      </c>
      <c r="F6" s="18">
        <v>1</v>
      </c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</row>
    <row r="7" spans="1:18">
      <c r="A7" s="18" t="s">
        <v>179</v>
      </c>
      <c r="B7" s="18">
        <v>0.44635311294872032</v>
      </c>
      <c r="C7" s="18">
        <v>0.44625813268930525</v>
      </c>
      <c r="D7" s="18">
        <v>-2.400821848758768E-2</v>
      </c>
      <c r="E7" s="18">
        <v>0.36936401049072914</v>
      </c>
      <c r="F7" s="18">
        <v>0.36193879650102856</v>
      </c>
      <c r="G7" s="18">
        <v>1</v>
      </c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</row>
    <row r="8" spans="1:18">
      <c r="A8" s="18" t="s">
        <v>180</v>
      </c>
      <c r="B8" s="18">
        <v>0.8522474974529618</v>
      </c>
      <c r="C8" s="18">
        <v>0.85482150274366153</v>
      </c>
      <c r="D8" s="18">
        <v>-0.12151364628556398</v>
      </c>
      <c r="E8" s="18">
        <v>0.99695351418470912</v>
      </c>
      <c r="F8" s="18">
        <v>0.99675372262458151</v>
      </c>
      <c r="G8" s="18">
        <v>0.38781633041727903</v>
      </c>
      <c r="H8" s="18">
        <v>1</v>
      </c>
      <c r="I8" s="18"/>
      <c r="J8" s="18"/>
      <c r="K8" s="18"/>
      <c r="L8" s="18"/>
      <c r="M8" s="18"/>
      <c r="N8" s="18"/>
      <c r="O8" s="18"/>
      <c r="P8" s="18"/>
      <c r="Q8" s="18"/>
      <c r="R8" s="18"/>
    </row>
    <row r="9" spans="1:18">
      <c r="A9" s="18" t="s">
        <v>181</v>
      </c>
      <c r="B9" s="18">
        <v>0.85103056109210795</v>
      </c>
      <c r="C9" s="18">
        <v>0.85378746542195771</v>
      </c>
      <c r="D9" s="18">
        <v>-0.1264642356195467</v>
      </c>
      <c r="E9" s="18">
        <v>0.99709318068118824</v>
      </c>
      <c r="F9" s="18">
        <v>0.9969505734664692</v>
      </c>
      <c r="G9" s="18">
        <v>0.38120617934092094</v>
      </c>
      <c r="H9" s="18">
        <v>0.99996281514460073</v>
      </c>
      <c r="I9" s="18">
        <v>1</v>
      </c>
      <c r="J9" s="18"/>
      <c r="K9" s="18"/>
      <c r="L9" s="18"/>
      <c r="M9" s="18"/>
      <c r="N9" s="18"/>
      <c r="O9" s="18"/>
      <c r="P9" s="18"/>
      <c r="Q9" s="18"/>
      <c r="R9" s="18"/>
    </row>
    <row r="10" spans="1:18">
      <c r="A10" s="18" t="s">
        <v>182</v>
      </c>
      <c r="B10" s="18">
        <v>0.35838744668355721</v>
      </c>
      <c r="C10" s="18">
        <v>0.3386083988892834</v>
      </c>
      <c r="D10" s="18">
        <v>0.52184248887089035</v>
      </c>
      <c r="E10" s="18">
        <v>0.24444964191137014</v>
      </c>
      <c r="F10" s="18">
        <v>0.23800356625158642</v>
      </c>
      <c r="G10" s="18">
        <v>0.84026747284486036</v>
      </c>
      <c r="H10" s="18">
        <v>0.26501864548255122</v>
      </c>
      <c r="I10" s="18">
        <v>0.25669343889750351</v>
      </c>
      <c r="J10" s="18">
        <v>1</v>
      </c>
      <c r="K10" s="18"/>
      <c r="L10" s="18"/>
      <c r="M10" s="18"/>
      <c r="N10" s="18"/>
      <c r="O10" s="18"/>
      <c r="P10" s="18"/>
      <c r="Q10" s="18"/>
      <c r="R10" s="18"/>
    </row>
    <row r="11" spans="1:18">
      <c r="A11" s="18" t="s">
        <v>183</v>
      </c>
      <c r="B11" s="18">
        <v>0.40572710194491446</v>
      </c>
      <c r="C11" s="18">
        <v>0.42306858869242203</v>
      </c>
      <c r="D11" s="18">
        <v>-0.50046247151662715</v>
      </c>
      <c r="E11" s="18">
        <v>0.40516863024209326</v>
      </c>
      <c r="F11" s="18">
        <v>0.40589589240592239</v>
      </c>
      <c r="G11" s="18">
        <v>6.3436396702296366E-2</v>
      </c>
      <c r="H11" s="18">
        <v>0.41427650237195096</v>
      </c>
      <c r="I11" s="18">
        <v>0.41718630546903918</v>
      </c>
      <c r="J11" s="18">
        <v>-0.21728551185688288</v>
      </c>
      <c r="K11" s="18">
        <v>1</v>
      </c>
      <c r="L11" s="18"/>
      <c r="M11" s="18"/>
      <c r="N11" s="18"/>
      <c r="O11" s="18"/>
      <c r="P11" s="18"/>
      <c r="Q11" s="18"/>
      <c r="R11" s="18"/>
    </row>
    <row r="12" spans="1:18">
      <c r="A12" s="18" t="s">
        <v>184</v>
      </c>
      <c r="B12" s="18">
        <v>0.39807346339799288</v>
      </c>
      <c r="C12" s="18">
        <v>0.38534165493787259</v>
      </c>
      <c r="D12" s="18">
        <v>0.3259298711566872</v>
      </c>
      <c r="E12" s="18">
        <v>0.27639805053602545</v>
      </c>
      <c r="F12" s="18">
        <v>0.26948765053577606</v>
      </c>
      <c r="G12" s="18">
        <v>0.90603729358129059</v>
      </c>
      <c r="H12" s="18">
        <v>0.29870523434294266</v>
      </c>
      <c r="I12" s="18">
        <v>0.29090694200509776</v>
      </c>
      <c r="J12" s="18">
        <v>0.94987160813210625</v>
      </c>
      <c r="K12" s="18">
        <v>-8.7079656222903992E-2</v>
      </c>
      <c r="L12" s="18">
        <v>1</v>
      </c>
      <c r="M12" s="18"/>
      <c r="N12" s="18"/>
      <c r="O12" s="18"/>
      <c r="P12" s="18"/>
      <c r="Q12" s="18"/>
      <c r="R12" s="18"/>
    </row>
    <row r="13" spans="1:18">
      <c r="A13" s="18" t="s">
        <v>185</v>
      </c>
      <c r="B13" s="18">
        <v>0.26624653441150059</v>
      </c>
      <c r="C13" s="18">
        <v>0.24633436893498989</v>
      </c>
      <c r="D13" s="18">
        <v>0.53099295922032674</v>
      </c>
      <c r="E13" s="18">
        <v>0.15056464682856396</v>
      </c>
      <c r="F13" s="18">
        <v>0.1479638407721339</v>
      </c>
      <c r="G13" s="18">
        <v>0.35801461316713457</v>
      </c>
      <c r="H13" s="18">
        <v>0.16926653601889147</v>
      </c>
      <c r="I13" s="18">
        <v>0.1643538098218294</v>
      </c>
      <c r="J13" s="18">
        <v>0.59346207266686468</v>
      </c>
      <c r="K13" s="18">
        <v>-7.9930537138856408E-2</v>
      </c>
      <c r="L13" s="18">
        <v>0.39887881265923003</v>
      </c>
      <c r="M13" s="18">
        <v>1</v>
      </c>
      <c r="N13" s="18"/>
      <c r="O13" s="18"/>
      <c r="P13" s="18"/>
      <c r="Q13" s="18"/>
      <c r="R13" s="18"/>
    </row>
    <row r="14" spans="1:18">
      <c r="A14" s="18" t="s">
        <v>186</v>
      </c>
      <c r="B14" s="18">
        <v>9.0558403013838648E-2</v>
      </c>
      <c r="C14" s="18">
        <v>7.0239480011809796E-2</v>
      </c>
      <c r="D14" s="18">
        <v>0.55264075843163873</v>
      </c>
      <c r="E14" s="18">
        <v>-1.1357617903222345E-2</v>
      </c>
      <c r="F14" s="18">
        <v>-9.3362964663645832E-3</v>
      </c>
      <c r="G14" s="18">
        <v>-0.23961025150049278</v>
      </c>
      <c r="H14" s="18">
        <v>1.9082235915761625E-3</v>
      </c>
      <c r="I14" s="18">
        <v>1.0607512365435217E-3</v>
      </c>
      <c r="J14" s="18">
        <v>9.5256276134483647E-2</v>
      </c>
      <c r="K14" s="18">
        <v>0.20347478349572498</v>
      </c>
      <c r="L14" s="18">
        <v>0.1271619903046835</v>
      </c>
      <c r="M14" s="18">
        <v>3.4026083161666096E-2</v>
      </c>
      <c r="N14" s="18">
        <v>1</v>
      </c>
      <c r="O14" s="18"/>
      <c r="P14" s="18"/>
      <c r="Q14" s="18"/>
      <c r="R14" s="18"/>
    </row>
    <row r="15" spans="1:18">
      <c r="A15" s="18" t="s">
        <v>187</v>
      </c>
      <c r="B15" s="18">
        <v>0.19156037687045557</v>
      </c>
      <c r="C15" s="18">
        <v>0.21175074071794148</v>
      </c>
      <c r="D15" s="18">
        <v>-0.56593320111052348</v>
      </c>
      <c r="E15" s="18">
        <v>0.1131439268058911</v>
      </c>
      <c r="F15" s="18">
        <v>0.11328676254367988</v>
      </c>
      <c r="G15" s="18">
        <v>2.4733416539726709E-2</v>
      </c>
      <c r="H15" s="18">
        <v>0.12606217988805021</v>
      </c>
      <c r="I15" s="18">
        <v>0.12891248701766195</v>
      </c>
      <c r="J15" s="18">
        <v>-0.28581692973180645</v>
      </c>
      <c r="K15" s="18">
        <v>0.59990323915421317</v>
      </c>
      <c r="L15" s="18">
        <v>-7.6245298639734477E-2</v>
      </c>
      <c r="M15" s="18">
        <v>-5.7387491432390879E-2</v>
      </c>
      <c r="N15" s="18">
        <v>9.3981668652144523E-2</v>
      </c>
      <c r="O15" s="18">
        <v>1</v>
      </c>
      <c r="P15" s="18"/>
      <c r="Q15" s="18"/>
      <c r="R15" s="18"/>
    </row>
    <row r="16" spans="1:18">
      <c r="A16" s="18" t="s">
        <v>188</v>
      </c>
      <c r="B16" s="18">
        <v>4.7692174491860639E-2</v>
      </c>
      <c r="C16" s="18">
        <v>5.4586957412087585E-2</v>
      </c>
      <c r="D16" s="18">
        <v>-0.19220296000995846</v>
      </c>
      <c r="E16" s="18">
        <v>2.9249098279728582E-2</v>
      </c>
      <c r="F16" s="18">
        <v>2.9950650288802675E-2</v>
      </c>
      <c r="G16" s="18">
        <v>-7.1026401284232613E-2</v>
      </c>
      <c r="H16" s="18">
        <v>3.2344249388406784E-2</v>
      </c>
      <c r="I16" s="18">
        <v>3.3893982532237521E-2</v>
      </c>
      <c r="J16" s="18">
        <v>-0.16484308805498268</v>
      </c>
      <c r="K16" s="18">
        <v>0.15372093626439079</v>
      </c>
      <c r="L16" s="18">
        <v>-0.10444035239604094</v>
      </c>
      <c r="M16" s="18">
        <v>-7.5698865007781085E-2</v>
      </c>
      <c r="N16" s="18">
        <v>-1.0139293014366115E-2</v>
      </c>
      <c r="O16" s="18">
        <v>0.24862140041967884</v>
      </c>
      <c r="P16" s="18">
        <v>1</v>
      </c>
      <c r="Q16" s="18"/>
      <c r="R16" s="18"/>
    </row>
    <row r="17" spans="1:18">
      <c r="A17" s="18" t="s">
        <v>189</v>
      </c>
      <c r="B17" s="18">
        <v>0.20660078981256083</v>
      </c>
      <c r="C17" s="18">
        <v>0.18807053003246163</v>
      </c>
      <c r="D17" s="18">
        <v>0.49659693821129097</v>
      </c>
      <c r="E17" s="18">
        <v>1.3746421371829973E-2</v>
      </c>
      <c r="F17" s="18">
        <v>1.1456623332480199E-2</v>
      </c>
      <c r="G17" s="18">
        <v>0.27175771378264818</v>
      </c>
      <c r="H17" s="18">
        <v>3.9631819649114539E-2</v>
      </c>
      <c r="I17" s="18">
        <v>3.5241744933349431E-2</v>
      </c>
      <c r="J17" s="18">
        <v>0.50120617238713006</v>
      </c>
      <c r="K17" s="18">
        <v>-5.3804744239795955E-2</v>
      </c>
      <c r="L17" s="18">
        <v>0.3076793120772372</v>
      </c>
      <c r="M17" s="18">
        <v>0.94679366233132312</v>
      </c>
      <c r="N17" s="18">
        <v>4.1398524199047534E-2</v>
      </c>
      <c r="O17" s="18">
        <v>-4.3681047759302011E-2</v>
      </c>
      <c r="P17" s="18">
        <v>-5.8522162312915016E-2</v>
      </c>
      <c r="Q17" s="18">
        <v>1</v>
      </c>
      <c r="R17" s="18"/>
    </row>
    <row r="18" spans="1:18" ht="15.75" thickBot="1">
      <c r="A18" s="19" t="s">
        <v>190</v>
      </c>
      <c r="B18" s="19">
        <v>0.71225768555602276</v>
      </c>
      <c r="C18" s="19">
        <v>0.7149032463087116</v>
      </c>
      <c r="D18" s="19">
        <v>-0.11513103124819746</v>
      </c>
      <c r="E18" s="19">
        <v>0.7886271155289043</v>
      </c>
      <c r="F18" s="19">
        <v>0.78853895228024939</v>
      </c>
      <c r="G18" s="19">
        <v>0.29863705407320068</v>
      </c>
      <c r="H18" s="19">
        <v>0.79608722273997168</v>
      </c>
      <c r="I18" s="19">
        <v>0.79622391062729869</v>
      </c>
      <c r="J18" s="19">
        <v>0.19238452937362643</v>
      </c>
      <c r="K18" s="19">
        <v>0.54076185174127855</v>
      </c>
      <c r="L18" s="19">
        <v>0.21870252229177545</v>
      </c>
      <c r="M18" s="19">
        <v>0.1477955324196806</v>
      </c>
      <c r="N18" s="19">
        <v>9.9840115043963798E-2</v>
      </c>
      <c r="O18" s="19">
        <v>0.12789750329086694</v>
      </c>
      <c r="P18" s="19">
        <v>5.532578640556135E-2</v>
      </c>
      <c r="Q18" s="19">
        <v>7.9699218229372829E-2</v>
      </c>
      <c r="R18" s="19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B55C4-9C47-4998-9917-08FBD2955FF3}">
  <sheetPr codeName="Sheet15"/>
  <dimension ref="A1:AH15"/>
  <sheetViews>
    <sheetView workbookViewId="0">
      <selection activeCell="B3" sqref="B3"/>
    </sheetView>
  </sheetViews>
  <sheetFormatPr defaultRowHeight="15"/>
  <cols>
    <col min="1" max="1" width="18.140625" bestFit="1" customWidth="1"/>
    <col min="3" max="3" width="18.140625" bestFit="1" customWidth="1"/>
    <col min="5" max="5" width="18.140625" bestFit="1" customWidth="1"/>
    <col min="7" max="7" width="18.140625" bestFit="1" customWidth="1"/>
    <col min="9" max="9" width="18.140625" bestFit="1" customWidth="1"/>
    <col min="11" max="11" width="18.140625" bestFit="1" customWidth="1"/>
    <col min="13" max="13" width="20" bestFit="1" customWidth="1"/>
    <col min="15" max="15" width="20.140625" bestFit="1" customWidth="1"/>
    <col min="17" max="17" width="18.140625" bestFit="1" customWidth="1"/>
    <col min="19" max="19" width="18.140625" bestFit="1" customWidth="1"/>
    <col min="21" max="21" width="18.140625" bestFit="1" customWidth="1"/>
    <col min="23" max="23" width="18.140625" bestFit="1" customWidth="1"/>
    <col min="25" max="25" width="18.140625" bestFit="1" customWidth="1"/>
    <col min="27" max="27" width="18.140625" bestFit="1" customWidth="1"/>
    <col min="29" max="29" width="18.140625" bestFit="1" customWidth="1"/>
    <col min="31" max="31" width="18.140625" bestFit="1" customWidth="1"/>
    <col min="33" max="33" width="18.5703125" bestFit="1" customWidth="1"/>
  </cols>
  <sheetData>
    <row r="1" spans="1:34">
      <c r="A1" s="20" t="s">
        <v>174</v>
      </c>
      <c r="B1" s="20"/>
      <c r="C1" s="20" t="s">
        <v>175</v>
      </c>
      <c r="D1" s="20"/>
      <c r="E1" s="20" t="s">
        <v>176</v>
      </c>
      <c r="F1" s="20"/>
      <c r="G1" s="20" t="s">
        <v>177</v>
      </c>
      <c r="H1" s="20"/>
      <c r="I1" s="20" t="s">
        <v>178</v>
      </c>
      <c r="J1" s="20"/>
      <c r="K1" s="20" t="s">
        <v>179</v>
      </c>
      <c r="L1" s="20"/>
      <c r="M1" s="20" t="s">
        <v>180</v>
      </c>
      <c r="N1" s="20"/>
      <c r="O1" s="20" t="s">
        <v>181</v>
      </c>
      <c r="P1" s="20"/>
      <c r="Q1" s="20" t="s">
        <v>182</v>
      </c>
      <c r="R1" s="20"/>
      <c r="S1" s="20" t="s">
        <v>183</v>
      </c>
      <c r="T1" s="20"/>
      <c r="U1" s="20" t="s">
        <v>184</v>
      </c>
      <c r="V1" s="20"/>
      <c r="W1" s="20" t="s">
        <v>185</v>
      </c>
      <c r="X1" s="20"/>
      <c r="Y1" s="20" t="s">
        <v>186</v>
      </c>
      <c r="Z1" s="20"/>
      <c r="AA1" s="20" t="s">
        <v>187</v>
      </c>
      <c r="AB1" s="20"/>
      <c r="AC1" s="20" t="s">
        <v>188</v>
      </c>
      <c r="AD1" s="20"/>
      <c r="AE1" s="20" t="s">
        <v>189</v>
      </c>
      <c r="AF1" s="20"/>
      <c r="AG1" s="20" t="s">
        <v>190</v>
      </c>
      <c r="AH1" s="20"/>
    </row>
    <row r="2" spans="1:34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</row>
    <row r="3" spans="1:34">
      <c r="A3" s="18" t="s">
        <v>268</v>
      </c>
      <c r="B3" s="18">
        <v>3234.5862068965516</v>
      </c>
      <c r="C3" s="18" t="s">
        <v>268</v>
      </c>
      <c r="D3" s="18">
        <v>3225.3275862068967</v>
      </c>
      <c r="E3" s="18" t="s">
        <v>268</v>
      </c>
      <c r="F3" s="18">
        <v>9.2586206896551726</v>
      </c>
      <c r="G3" s="18" t="s">
        <v>268</v>
      </c>
      <c r="H3" s="18">
        <v>23732.431034482757</v>
      </c>
      <c r="I3" s="18" t="s">
        <v>268</v>
      </c>
      <c r="J3" s="18">
        <v>23628.241379310344</v>
      </c>
      <c r="K3" s="18" t="s">
        <v>268</v>
      </c>
      <c r="L3" s="18">
        <v>104.18965517241379</v>
      </c>
      <c r="M3" s="18" t="s">
        <v>268</v>
      </c>
      <c r="N3" s="18">
        <v>26967.275862068964</v>
      </c>
      <c r="O3" s="18" t="s">
        <v>268</v>
      </c>
      <c r="P3" s="18">
        <v>26853.827586206895</v>
      </c>
      <c r="Q3" s="18" t="s">
        <v>268</v>
      </c>
      <c r="R3" s="18">
        <v>113.44827586206897</v>
      </c>
      <c r="S3" s="18" t="s">
        <v>268</v>
      </c>
      <c r="T3" s="18">
        <v>19.448275862068964</v>
      </c>
      <c r="U3" s="18" t="s">
        <v>268</v>
      </c>
      <c r="V3" s="18">
        <v>101.17241379310344</v>
      </c>
      <c r="W3" s="18" t="s">
        <v>268</v>
      </c>
      <c r="X3" s="18">
        <v>20.758620689655171</v>
      </c>
      <c r="Y3" s="18" t="s">
        <v>268</v>
      </c>
      <c r="Z3" s="18">
        <v>16</v>
      </c>
      <c r="AA3" s="18" t="s">
        <v>268</v>
      </c>
      <c r="AB3" s="18">
        <v>8.0517241379310338</v>
      </c>
      <c r="AC3" s="18" t="s">
        <v>268</v>
      </c>
      <c r="AD3" s="18">
        <v>0.43103448275862066</v>
      </c>
      <c r="AE3" s="18" t="s">
        <v>268</v>
      </c>
      <c r="AF3" s="18">
        <v>14.448275862068966</v>
      </c>
      <c r="AG3" s="18" t="s">
        <v>268</v>
      </c>
      <c r="AH3" s="18">
        <v>5456.2413793103451</v>
      </c>
    </row>
    <row r="4" spans="1:34">
      <c r="A4" s="18" t="s">
        <v>269</v>
      </c>
      <c r="B4" s="18">
        <v>468.76025242071864</v>
      </c>
      <c r="C4" s="18" t="s">
        <v>269</v>
      </c>
      <c r="D4" s="18">
        <v>469.7802664249333</v>
      </c>
      <c r="E4" s="18" t="s">
        <v>269</v>
      </c>
      <c r="F4" s="18">
        <v>17.105249799009837</v>
      </c>
      <c r="G4" s="18" t="s">
        <v>269</v>
      </c>
      <c r="H4" s="18">
        <v>3144.8536529631065</v>
      </c>
      <c r="I4" s="18" t="s">
        <v>269</v>
      </c>
      <c r="J4" s="18">
        <v>3135.0127089061748</v>
      </c>
      <c r="K4" s="18" t="s">
        <v>269</v>
      </c>
      <c r="L4" s="18">
        <v>26.913030787941949</v>
      </c>
      <c r="M4" s="18" t="s">
        <v>269</v>
      </c>
      <c r="N4" s="18">
        <v>3534.8558970375288</v>
      </c>
      <c r="O4" s="18" t="s">
        <v>269</v>
      </c>
      <c r="P4" s="18">
        <v>3526.6282426318958</v>
      </c>
      <c r="Q4" s="18" t="s">
        <v>269</v>
      </c>
      <c r="R4" s="18">
        <v>31.540390494653497</v>
      </c>
      <c r="S4" s="18" t="s">
        <v>269</v>
      </c>
      <c r="T4" s="18">
        <v>6.2899863000683274</v>
      </c>
      <c r="U4" s="18" t="s">
        <v>269</v>
      </c>
      <c r="V4" s="18">
        <v>26.315229649634968</v>
      </c>
      <c r="W4" s="18" t="s">
        <v>269</v>
      </c>
      <c r="X4" s="18">
        <v>7.8301428808598974</v>
      </c>
      <c r="Y4" s="18" t="s">
        <v>269</v>
      </c>
      <c r="Z4" s="18">
        <v>11.077246234964276</v>
      </c>
      <c r="AA4" s="18" t="s">
        <v>269</v>
      </c>
      <c r="AB4" s="18">
        <v>6.4987514466450458</v>
      </c>
      <c r="AC4" s="18" t="s">
        <v>269</v>
      </c>
      <c r="AD4" s="18">
        <v>0.24238189503393257</v>
      </c>
      <c r="AE4" s="18" t="s">
        <v>269</v>
      </c>
      <c r="AF4" s="18">
        <v>7.1480824792346498</v>
      </c>
      <c r="AG4" s="18" t="s">
        <v>269</v>
      </c>
      <c r="AH4" s="18">
        <v>962.75058013931471</v>
      </c>
    </row>
    <row r="5" spans="1:34">
      <c r="A5" s="18" t="s">
        <v>270</v>
      </c>
      <c r="B5" s="18">
        <v>2196.5</v>
      </c>
      <c r="C5" s="18" t="s">
        <v>270</v>
      </c>
      <c r="D5" s="18">
        <v>2223</v>
      </c>
      <c r="E5" s="18" t="s">
        <v>270</v>
      </c>
      <c r="F5" s="18">
        <v>0</v>
      </c>
      <c r="G5" s="18" t="s">
        <v>270</v>
      </c>
      <c r="H5" s="18">
        <v>18840.5</v>
      </c>
      <c r="I5" s="18" t="s">
        <v>270</v>
      </c>
      <c r="J5" s="18">
        <v>18510</v>
      </c>
      <c r="K5" s="18" t="s">
        <v>270</v>
      </c>
      <c r="L5" s="18">
        <v>1.5</v>
      </c>
      <c r="M5" s="18" t="s">
        <v>270</v>
      </c>
      <c r="N5" s="18">
        <v>19691.5</v>
      </c>
      <c r="O5" s="18" t="s">
        <v>270</v>
      </c>
      <c r="P5" s="18">
        <v>19485</v>
      </c>
      <c r="Q5" s="18" t="s">
        <v>270</v>
      </c>
      <c r="R5" s="18">
        <v>0</v>
      </c>
      <c r="S5" s="18" t="s">
        <v>270</v>
      </c>
      <c r="T5" s="18">
        <v>0</v>
      </c>
      <c r="U5" s="18" t="s">
        <v>270</v>
      </c>
      <c r="V5" s="18">
        <v>0</v>
      </c>
      <c r="W5" s="18" t="s">
        <v>270</v>
      </c>
      <c r="X5" s="18">
        <v>0</v>
      </c>
      <c r="Y5" s="18" t="s">
        <v>270</v>
      </c>
      <c r="Z5" s="18">
        <v>0</v>
      </c>
      <c r="AA5" s="18" t="s">
        <v>270</v>
      </c>
      <c r="AB5" s="18">
        <v>0</v>
      </c>
      <c r="AC5" s="18" t="s">
        <v>270</v>
      </c>
      <c r="AD5" s="18">
        <v>0</v>
      </c>
      <c r="AE5" s="18" t="s">
        <v>270</v>
      </c>
      <c r="AF5" s="18">
        <v>0</v>
      </c>
      <c r="AG5" s="18" t="s">
        <v>270</v>
      </c>
      <c r="AH5" s="18">
        <v>2829</v>
      </c>
    </row>
    <row r="6" spans="1:34">
      <c r="A6" s="18" t="s">
        <v>271</v>
      </c>
      <c r="B6" s="18" t="e">
        <v>#N/A</v>
      </c>
      <c r="C6" s="18" t="s">
        <v>271</v>
      </c>
      <c r="D6" s="18" t="e">
        <v>#N/A</v>
      </c>
      <c r="E6" s="18" t="s">
        <v>271</v>
      </c>
      <c r="F6" s="18">
        <v>0</v>
      </c>
      <c r="G6" s="18" t="s">
        <v>271</v>
      </c>
      <c r="H6" s="18" t="e">
        <v>#N/A</v>
      </c>
      <c r="I6" s="18" t="s">
        <v>271</v>
      </c>
      <c r="J6" s="18" t="e">
        <v>#N/A</v>
      </c>
      <c r="K6" s="18" t="s">
        <v>271</v>
      </c>
      <c r="L6" s="18">
        <v>0</v>
      </c>
      <c r="M6" s="18" t="s">
        <v>271</v>
      </c>
      <c r="N6" s="18" t="e">
        <v>#N/A</v>
      </c>
      <c r="O6" s="18" t="s">
        <v>271</v>
      </c>
      <c r="P6" s="18" t="e">
        <v>#N/A</v>
      </c>
      <c r="Q6" s="18" t="s">
        <v>271</v>
      </c>
      <c r="R6" s="18">
        <v>0</v>
      </c>
      <c r="S6" s="18" t="s">
        <v>271</v>
      </c>
      <c r="T6" s="18">
        <v>0</v>
      </c>
      <c r="U6" s="18" t="s">
        <v>271</v>
      </c>
      <c r="V6" s="18">
        <v>0</v>
      </c>
      <c r="W6" s="18" t="s">
        <v>271</v>
      </c>
      <c r="X6" s="18">
        <v>0</v>
      </c>
      <c r="Y6" s="18" t="s">
        <v>271</v>
      </c>
      <c r="Z6" s="18">
        <v>0</v>
      </c>
      <c r="AA6" s="18" t="s">
        <v>271</v>
      </c>
      <c r="AB6" s="18">
        <v>0</v>
      </c>
      <c r="AC6" s="18" t="s">
        <v>271</v>
      </c>
      <c r="AD6" s="18">
        <v>0</v>
      </c>
      <c r="AE6" s="18" t="s">
        <v>271</v>
      </c>
      <c r="AF6" s="18">
        <v>0</v>
      </c>
      <c r="AG6" s="18" t="s">
        <v>271</v>
      </c>
      <c r="AH6" s="18" t="e">
        <v>#N/A</v>
      </c>
    </row>
    <row r="7" spans="1:34">
      <c r="A7" s="18" t="s">
        <v>272</v>
      </c>
      <c r="B7" s="18">
        <v>3569.9717234836862</v>
      </c>
      <c r="C7" s="18" t="s">
        <v>272</v>
      </c>
      <c r="D7" s="18">
        <v>3577.7399187045889</v>
      </c>
      <c r="E7" s="18" t="s">
        <v>272</v>
      </c>
      <c r="F7" s="18">
        <v>130.26970138838314</v>
      </c>
      <c r="G7" s="18" t="s">
        <v>272</v>
      </c>
      <c r="H7" s="18">
        <v>23950.491872114297</v>
      </c>
      <c r="I7" s="18" t="s">
        <v>272</v>
      </c>
      <c r="J7" s="18">
        <v>23875.545475029205</v>
      </c>
      <c r="K7" s="18" t="s">
        <v>272</v>
      </c>
      <c r="L7" s="18">
        <v>204.96353607209565</v>
      </c>
      <c r="M7" s="18" t="s">
        <v>272</v>
      </c>
      <c r="N7" s="18">
        <v>26920.660473762855</v>
      </c>
      <c r="O7" s="18" t="s">
        <v>272</v>
      </c>
      <c r="P7" s="18">
        <v>26858.000524616091</v>
      </c>
      <c r="Q7" s="18" t="s">
        <v>272</v>
      </c>
      <c r="R7" s="18">
        <v>240.20445767762777</v>
      </c>
      <c r="S7" s="18" t="s">
        <v>272</v>
      </c>
      <c r="T7" s="18">
        <v>47.903108500312804</v>
      </c>
      <c r="U7" s="18" t="s">
        <v>272</v>
      </c>
      <c r="V7" s="18">
        <v>200.41081824032253</v>
      </c>
      <c r="W7" s="18" t="s">
        <v>272</v>
      </c>
      <c r="X7" s="18">
        <v>59.632591567124557</v>
      </c>
      <c r="Y7" s="18" t="s">
        <v>272</v>
      </c>
      <c r="Z7" s="18">
        <v>84.361793963273172</v>
      </c>
      <c r="AA7" s="18" t="s">
        <v>272</v>
      </c>
      <c r="AB7" s="18">
        <v>49.49301648905351</v>
      </c>
      <c r="AC7" s="18" t="s">
        <v>272</v>
      </c>
      <c r="AD7" s="18">
        <v>1.8459255175477525</v>
      </c>
      <c r="AE7" s="18" t="s">
        <v>272</v>
      </c>
      <c r="AF7" s="18">
        <v>54.438174303852257</v>
      </c>
      <c r="AG7" s="18" t="s">
        <v>272</v>
      </c>
      <c r="AH7" s="18">
        <v>7332.0899758798687</v>
      </c>
    </row>
    <row r="8" spans="1:34">
      <c r="A8" s="18" t="s">
        <v>273</v>
      </c>
      <c r="B8" s="18">
        <v>12744698.106473081</v>
      </c>
      <c r="C8" s="18" t="s">
        <v>273</v>
      </c>
      <c r="D8" s="18">
        <v>12800222.925892318</v>
      </c>
      <c r="E8" s="18" t="s">
        <v>273</v>
      </c>
      <c r="F8" s="18">
        <v>16970.195099818513</v>
      </c>
      <c r="G8" s="18" t="s">
        <v>273</v>
      </c>
      <c r="H8" s="18">
        <v>573626060.91621292</v>
      </c>
      <c r="I8" s="18" t="s">
        <v>273</v>
      </c>
      <c r="J8" s="18">
        <v>570041671.73018754</v>
      </c>
      <c r="K8" s="18" t="s">
        <v>273</v>
      </c>
      <c r="L8" s="18">
        <v>42010.051119177253</v>
      </c>
      <c r="M8" s="18" t="s">
        <v>273</v>
      </c>
      <c r="N8" s="18">
        <v>724721960.34361768</v>
      </c>
      <c r="O8" s="18" t="s">
        <v>273</v>
      </c>
      <c r="P8" s="18">
        <v>721352192.1802783</v>
      </c>
      <c r="Q8" s="18" t="s">
        <v>273</v>
      </c>
      <c r="R8" s="18">
        <v>57698.18148820327</v>
      </c>
      <c r="S8" s="18" t="s">
        <v>273</v>
      </c>
      <c r="T8" s="18">
        <v>2294.7078039927405</v>
      </c>
      <c r="U8" s="18" t="s">
        <v>273</v>
      </c>
      <c r="V8" s="18">
        <v>40164.496067755594</v>
      </c>
      <c r="W8" s="18" t="s">
        <v>273</v>
      </c>
      <c r="X8" s="18">
        <v>3556.0459770114944</v>
      </c>
      <c r="Y8" s="18" t="s">
        <v>273</v>
      </c>
      <c r="Z8" s="18">
        <v>7116.9122807017548</v>
      </c>
      <c r="AA8" s="18" t="s">
        <v>273</v>
      </c>
      <c r="AB8" s="18">
        <v>2449.5586811857229</v>
      </c>
      <c r="AC8" s="18" t="s">
        <v>273</v>
      </c>
      <c r="AD8" s="18">
        <v>3.4074410163339381</v>
      </c>
      <c r="AE8" s="18" t="s">
        <v>273</v>
      </c>
      <c r="AF8" s="18">
        <v>2963.5148215366003</v>
      </c>
      <c r="AG8" s="18" t="s">
        <v>273</v>
      </c>
      <c r="AH8" s="18">
        <v>53759543.414398059</v>
      </c>
    </row>
    <row r="9" spans="1:34">
      <c r="A9" s="18" t="s">
        <v>274</v>
      </c>
      <c r="B9" s="18">
        <v>5.7675634085902239</v>
      </c>
      <c r="C9" s="18" t="s">
        <v>274</v>
      </c>
      <c r="D9" s="18">
        <v>5.7143382277188781</v>
      </c>
      <c r="E9" s="18" t="s">
        <v>274</v>
      </c>
      <c r="F9" s="18">
        <v>12.39825280707297</v>
      </c>
      <c r="G9" s="18" t="s">
        <v>274</v>
      </c>
      <c r="H9" s="18">
        <v>1.9162478255142106</v>
      </c>
      <c r="I9" s="18" t="s">
        <v>274</v>
      </c>
      <c r="J9" s="18">
        <v>1.9467489753781453</v>
      </c>
      <c r="K9" s="18" t="s">
        <v>274</v>
      </c>
      <c r="L9" s="18">
        <v>4.9296205121372587</v>
      </c>
      <c r="M9" s="18" t="s">
        <v>274</v>
      </c>
      <c r="N9" s="18">
        <v>2.1484063014756818</v>
      </c>
      <c r="O9" s="18" t="s">
        <v>274</v>
      </c>
      <c r="P9" s="18">
        <v>2.1635926397266281</v>
      </c>
      <c r="Q9" s="18" t="s">
        <v>274</v>
      </c>
      <c r="R9" s="18">
        <v>3.9710499169161699</v>
      </c>
      <c r="S9" s="18" t="s">
        <v>274</v>
      </c>
      <c r="T9" s="18">
        <v>10.55498106263332</v>
      </c>
      <c r="U9" s="18" t="s">
        <v>274</v>
      </c>
      <c r="V9" s="18">
        <v>5.0801770734456113</v>
      </c>
      <c r="W9" s="18" t="s">
        <v>274</v>
      </c>
      <c r="X9" s="18">
        <v>22.559765435807847</v>
      </c>
      <c r="Y9" s="18" t="s">
        <v>274</v>
      </c>
      <c r="Z9" s="18">
        <v>54.814965302226547</v>
      </c>
      <c r="AA9" s="18" t="s">
        <v>274</v>
      </c>
      <c r="AB9" s="18">
        <v>54.476076142273421</v>
      </c>
      <c r="AC9" s="18" t="s">
        <v>274</v>
      </c>
      <c r="AD9" s="18">
        <v>39.282048089948795</v>
      </c>
      <c r="AE9" s="18" t="s">
        <v>274</v>
      </c>
      <c r="AF9" s="18">
        <v>33.304872707826256</v>
      </c>
      <c r="AG9" s="18" t="s">
        <v>274</v>
      </c>
      <c r="AH9" s="18">
        <v>5.8437803352293578</v>
      </c>
    </row>
    <row r="10" spans="1:34">
      <c r="A10" s="18" t="s">
        <v>275</v>
      </c>
      <c r="B10" s="18">
        <v>2.1794584153630017</v>
      </c>
      <c r="C10" s="18" t="s">
        <v>275</v>
      </c>
      <c r="D10" s="18">
        <v>2.1810409168334766</v>
      </c>
      <c r="E10" s="18" t="s">
        <v>275</v>
      </c>
      <c r="F10" s="18">
        <v>0.7680510360350451</v>
      </c>
      <c r="G10" s="18" t="s">
        <v>275</v>
      </c>
      <c r="H10" s="18">
        <v>1.5320049788518215</v>
      </c>
      <c r="I10" s="18" t="s">
        <v>275</v>
      </c>
      <c r="J10" s="18">
        <v>1.5372016732620444</v>
      </c>
      <c r="K10" s="18" t="s">
        <v>275</v>
      </c>
      <c r="L10" s="18">
        <v>2.0778248938192543</v>
      </c>
      <c r="M10" s="18" t="s">
        <v>275</v>
      </c>
      <c r="N10" s="18">
        <v>1.5542350762496173</v>
      </c>
      <c r="O10" s="18" t="s">
        <v>275</v>
      </c>
      <c r="P10" s="18">
        <v>1.5561619060695562</v>
      </c>
      <c r="Q10" s="18" t="s">
        <v>275</v>
      </c>
      <c r="R10" s="18">
        <v>1.8371107904203001</v>
      </c>
      <c r="S10" s="18" t="s">
        <v>275</v>
      </c>
      <c r="T10" s="18">
        <v>3.2178964099763134</v>
      </c>
      <c r="U10" s="18" t="s">
        <v>275</v>
      </c>
      <c r="V10" s="18">
        <v>2.2793536946657253</v>
      </c>
      <c r="W10" s="18" t="s">
        <v>275</v>
      </c>
      <c r="X10" s="18">
        <v>4.3573391160828479</v>
      </c>
      <c r="Y10" s="18" t="s">
        <v>275</v>
      </c>
      <c r="Z10" s="18">
        <v>7.3209195030575502</v>
      </c>
      <c r="AA10" s="18" t="s">
        <v>275</v>
      </c>
      <c r="AB10" s="18">
        <v>7.298372293446687</v>
      </c>
      <c r="AC10" s="18" t="s">
        <v>275</v>
      </c>
      <c r="AD10" s="18">
        <v>5.9891403190581016</v>
      </c>
      <c r="AE10" s="18" t="s">
        <v>275</v>
      </c>
      <c r="AF10" s="18">
        <v>5.4126321043615251</v>
      </c>
      <c r="AG10" s="18" t="s">
        <v>275</v>
      </c>
      <c r="AH10" s="18">
        <v>2.3282307190384519</v>
      </c>
    </row>
    <row r="11" spans="1:34">
      <c r="A11" s="18" t="s">
        <v>276</v>
      </c>
      <c r="B11" s="18">
        <v>17203</v>
      </c>
      <c r="C11" s="18" t="s">
        <v>276</v>
      </c>
      <c r="D11" s="18">
        <v>17283</v>
      </c>
      <c r="E11" s="18" t="s">
        <v>276</v>
      </c>
      <c r="F11" s="18">
        <v>1129</v>
      </c>
      <c r="G11" s="18" t="s">
        <v>276</v>
      </c>
      <c r="H11" s="18">
        <v>103879</v>
      </c>
      <c r="I11" s="18" t="s">
        <v>276</v>
      </c>
      <c r="J11" s="18">
        <v>103762</v>
      </c>
      <c r="K11" s="18" t="s">
        <v>276</v>
      </c>
      <c r="L11" s="18">
        <v>1165</v>
      </c>
      <c r="M11" s="18" t="s">
        <v>276</v>
      </c>
      <c r="N11" s="18">
        <v>121088</v>
      </c>
      <c r="O11" s="18" t="s">
        <v>276</v>
      </c>
      <c r="P11" s="18">
        <v>121051</v>
      </c>
      <c r="Q11" s="18" t="s">
        <v>276</v>
      </c>
      <c r="R11" s="18">
        <v>1417</v>
      </c>
      <c r="S11" s="18" t="s">
        <v>276</v>
      </c>
      <c r="T11" s="18">
        <v>233</v>
      </c>
      <c r="U11" s="18" t="s">
        <v>276</v>
      </c>
      <c r="V11" s="18">
        <v>888</v>
      </c>
      <c r="W11" s="18" t="s">
        <v>276</v>
      </c>
      <c r="X11" s="18">
        <v>376</v>
      </c>
      <c r="Y11" s="18" t="s">
        <v>276</v>
      </c>
      <c r="Z11" s="18">
        <v>639</v>
      </c>
      <c r="AA11" s="18" t="s">
        <v>276</v>
      </c>
      <c r="AB11" s="18">
        <v>373</v>
      </c>
      <c r="AC11" s="18" t="s">
        <v>276</v>
      </c>
      <c r="AD11" s="18">
        <v>13</v>
      </c>
      <c r="AE11" s="18" t="s">
        <v>276</v>
      </c>
      <c r="AF11" s="18">
        <v>371</v>
      </c>
      <c r="AG11" s="18" t="s">
        <v>276</v>
      </c>
      <c r="AH11" s="18">
        <v>33178</v>
      </c>
    </row>
    <row r="12" spans="1:34">
      <c r="A12" s="18" t="s">
        <v>277</v>
      </c>
      <c r="B12" s="18">
        <v>38</v>
      </c>
      <c r="C12" s="18" t="s">
        <v>277</v>
      </c>
      <c r="D12" s="18">
        <v>38</v>
      </c>
      <c r="E12" s="18" t="s">
        <v>277</v>
      </c>
      <c r="F12" s="18">
        <v>-530</v>
      </c>
      <c r="G12" s="18" t="s">
        <v>277</v>
      </c>
      <c r="H12" s="18">
        <v>345</v>
      </c>
      <c r="I12" s="18" t="s">
        <v>277</v>
      </c>
      <c r="J12" s="18">
        <v>345</v>
      </c>
      <c r="K12" s="18" t="s">
        <v>277</v>
      </c>
      <c r="L12" s="18">
        <v>-253</v>
      </c>
      <c r="M12" s="18" t="s">
        <v>277</v>
      </c>
      <c r="N12" s="18">
        <v>383</v>
      </c>
      <c r="O12" s="18" t="s">
        <v>277</v>
      </c>
      <c r="P12" s="18">
        <v>383</v>
      </c>
      <c r="Q12" s="18" t="s">
        <v>277</v>
      </c>
      <c r="R12" s="18">
        <v>-366</v>
      </c>
      <c r="S12" s="18" t="s">
        <v>277</v>
      </c>
      <c r="T12" s="18">
        <v>0</v>
      </c>
      <c r="U12" s="18" t="s">
        <v>277</v>
      </c>
      <c r="V12" s="18">
        <v>0</v>
      </c>
      <c r="W12" s="18" t="s">
        <v>277</v>
      </c>
      <c r="X12" s="18">
        <v>0</v>
      </c>
      <c r="Y12" s="18" t="s">
        <v>277</v>
      </c>
      <c r="Z12" s="18">
        <v>0</v>
      </c>
      <c r="AA12" s="18" t="s">
        <v>277</v>
      </c>
      <c r="AB12" s="18">
        <v>0</v>
      </c>
      <c r="AC12" s="18" t="s">
        <v>277</v>
      </c>
      <c r="AD12" s="18">
        <v>0</v>
      </c>
      <c r="AE12" s="18" t="s">
        <v>277</v>
      </c>
      <c r="AF12" s="18">
        <v>0</v>
      </c>
      <c r="AG12" s="18" t="s">
        <v>277</v>
      </c>
      <c r="AH12" s="18">
        <v>0</v>
      </c>
    </row>
    <row r="13" spans="1:34">
      <c r="A13" s="18" t="s">
        <v>278</v>
      </c>
      <c r="B13" s="18">
        <v>17241</v>
      </c>
      <c r="C13" s="18" t="s">
        <v>278</v>
      </c>
      <c r="D13" s="18">
        <v>17321</v>
      </c>
      <c r="E13" s="18" t="s">
        <v>278</v>
      </c>
      <c r="F13" s="18">
        <v>599</v>
      </c>
      <c r="G13" s="18" t="s">
        <v>278</v>
      </c>
      <c r="H13" s="18">
        <v>104224</v>
      </c>
      <c r="I13" s="18" t="s">
        <v>278</v>
      </c>
      <c r="J13" s="18">
        <v>104107</v>
      </c>
      <c r="K13" s="18" t="s">
        <v>278</v>
      </c>
      <c r="L13" s="18">
        <v>912</v>
      </c>
      <c r="M13" s="18" t="s">
        <v>278</v>
      </c>
      <c r="N13" s="18">
        <v>121471</v>
      </c>
      <c r="O13" s="18" t="s">
        <v>278</v>
      </c>
      <c r="P13" s="18">
        <v>121434</v>
      </c>
      <c r="Q13" s="18" t="s">
        <v>278</v>
      </c>
      <c r="R13" s="18">
        <v>1051</v>
      </c>
      <c r="S13" s="18" t="s">
        <v>278</v>
      </c>
      <c r="T13" s="18">
        <v>233</v>
      </c>
      <c r="U13" s="18" t="s">
        <v>278</v>
      </c>
      <c r="V13" s="18">
        <v>888</v>
      </c>
      <c r="W13" s="18" t="s">
        <v>278</v>
      </c>
      <c r="X13" s="18">
        <v>376</v>
      </c>
      <c r="Y13" s="18" t="s">
        <v>278</v>
      </c>
      <c r="Z13" s="18">
        <v>639</v>
      </c>
      <c r="AA13" s="18" t="s">
        <v>278</v>
      </c>
      <c r="AB13" s="18">
        <v>373</v>
      </c>
      <c r="AC13" s="18" t="s">
        <v>278</v>
      </c>
      <c r="AD13" s="18">
        <v>13</v>
      </c>
      <c r="AE13" s="18" t="s">
        <v>278</v>
      </c>
      <c r="AF13" s="18">
        <v>371</v>
      </c>
      <c r="AG13" s="18" t="s">
        <v>278</v>
      </c>
      <c r="AH13" s="18">
        <v>33178</v>
      </c>
    </row>
    <row r="14" spans="1:34">
      <c r="A14" s="18" t="s">
        <v>279</v>
      </c>
      <c r="B14" s="18">
        <v>187606</v>
      </c>
      <c r="C14" s="18" t="s">
        <v>279</v>
      </c>
      <c r="D14" s="18">
        <v>187069</v>
      </c>
      <c r="E14" s="18" t="s">
        <v>279</v>
      </c>
      <c r="F14" s="18">
        <v>537</v>
      </c>
      <c r="G14" s="18" t="s">
        <v>279</v>
      </c>
      <c r="H14" s="18">
        <v>1376481</v>
      </c>
      <c r="I14" s="18" t="s">
        <v>279</v>
      </c>
      <c r="J14" s="18">
        <v>1370438</v>
      </c>
      <c r="K14" s="18" t="s">
        <v>279</v>
      </c>
      <c r="L14" s="18">
        <v>6043</v>
      </c>
      <c r="M14" s="18" t="s">
        <v>279</v>
      </c>
      <c r="N14" s="18">
        <v>1564102</v>
      </c>
      <c r="O14" s="18" t="s">
        <v>279</v>
      </c>
      <c r="P14" s="18">
        <v>1557522</v>
      </c>
      <c r="Q14" s="18" t="s">
        <v>279</v>
      </c>
      <c r="R14" s="18">
        <v>6580</v>
      </c>
      <c r="S14" s="18" t="s">
        <v>279</v>
      </c>
      <c r="T14" s="18">
        <v>1128</v>
      </c>
      <c r="U14" s="18" t="s">
        <v>279</v>
      </c>
      <c r="V14" s="18">
        <v>5868</v>
      </c>
      <c r="W14" s="18" t="s">
        <v>279</v>
      </c>
      <c r="X14" s="18">
        <v>1204</v>
      </c>
      <c r="Y14" s="18" t="s">
        <v>279</v>
      </c>
      <c r="Z14" s="18">
        <v>928</v>
      </c>
      <c r="AA14" s="18" t="s">
        <v>279</v>
      </c>
      <c r="AB14" s="18">
        <v>467</v>
      </c>
      <c r="AC14" s="18" t="s">
        <v>279</v>
      </c>
      <c r="AD14" s="18">
        <v>25</v>
      </c>
      <c r="AE14" s="18" t="s">
        <v>279</v>
      </c>
      <c r="AF14" s="18">
        <v>838</v>
      </c>
      <c r="AG14" s="18" t="s">
        <v>279</v>
      </c>
      <c r="AH14" s="18">
        <v>316462</v>
      </c>
    </row>
    <row r="15" spans="1:34" ht="15.75" thickBot="1">
      <c r="A15" s="19" t="s">
        <v>280</v>
      </c>
      <c r="B15" s="19">
        <v>58</v>
      </c>
      <c r="C15" s="19" t="s">
        <v>280</v>
      </c>
      <c r="D15" s="19">
        <v>58</v>
      </c>
      <c r="E15" s="19" t="s">
        <v>280</v>
      </c>
      <c r="F15" s="19">
        <v>58</v>
      </c>
      <c r="G15" s="19" t="s">
        <v>280</v>
      </c>
      <c r="H15" s="19">
        <v>58</v>
      </c>
      <c r="I15" s="19" t="s">
        <v>280</v>
      </c>
      <c r="J15" s="19">
        <v>58</v>
      </c>
      <c r="K15" s="19" t="s">
        <v>280</v>
      </c>
      <c r="L15" s="19">
        <v>58</v>
      </c>
      <c r="M15" s="19" t="s">
        <v>280</v>
      </c>
      <c r="N15" s="19">
        <v>58</v>
      </c>
      <c r="O15" s="19" t="s">
        <v>280</v>
      </c>
      <c r="P15" s="19">
        <v>58</v>
      </c>
      <c r="Q15" s="19" t="s">
        <v>280</v>
      </c>
      <c r="R15" s="19">
        <v>58</v>
      </c>
      <c r="S15" s="19" t="s">
        <v>280</v>
      </c>
      <c r="T15" s="19">
        <v>58</v>
      </c>
      <c r="U15" s="19" t="s">
        <v>280</v>
      </c>
      <c r="V15" s="19">
        <v>58</v>
      </c>
      <c r="W15" s="19" t="s">
        <v>280</v>
      </c>
      <c r="X15" s="19">
        <v>58</v>
      </c>
      <c r="Y15" s="19" t="s">
        <v>280</v>
      </c>
      <c r="Z15" s="19">
        <v>58</v>
      </c>
      <c r="AA15" s="19" t="s">
        <v>280</v>
      </c>
      <c r="AB15" s="19">
        <v>58</v>
      </c>
      <c r="AC15" s="19" t="s">
        <v>280</v>
      </c>
      <c r="AD15" s="19">
        <v>58</v>
      </c>
      <c r="AE15" s="19" t="s">
        <v>280</v>
      </c>
      <c r="AF15" s="19">
        <v>58</v>
      </c>
      <c r="AG15" s="19" t="s">
        <v>280</v>
      </c>
      <c r="AH15" s="19">
        <v>58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FB02E-7AD4-4A59-B78F-9C433A825612}">
  <dimension ref="A1:AH15"/>
  <sheetViews>
    <sheetView topLeftCell="Y1" workbookViewId="0">
      <selection activeCell="C4" sqref="C4"/>
    </sheetView>
  </sheetViews>
  <sheetFormatPr defaultRowHeight="15"/>
  <cols>
    <col min="1" max="1" width="18.140625" bestFit="1" customWidth="1"/>
    <col min="3" max="3" width="18.140625" bestFit="1" customWidth="1"/>
    <col min="5" max="5" width="18.140625" bestFit="1" customWidth="1"/>
    <col min="7" max="7" width="18.140625" bestFit="1" customWidth="1"/>
    <col min="9" max="9" width="18.140625" bestFit="1" customWidth="1"/>
    <col min="11" max="11" width="18.140625" bestFit="1" customWidth="1"/>
    <col min="13" max="13" width="20" bestFit="1" customWidth="1"/>
    <col min="15" max="15" width="20.140625" bestFit="1" customWidth="1"/>
    <col min="17" max="17" width="18.140625" bestFit="1" customWidth="1"/>
    <col min="25" max="25" width="18.140625" bestFit="1" customWidth="1"/>
    <col min="27" max="27" width="18.140625" bestFit="1" customWidth="1"/>
    <col min="29" max="29" width="18.140625" bestFit="1" customWidth="1"/>
    <col min="31" max="31" width="18.140625" bestFit="1" customWidth="1"/>
    <col min="33" max="33" width="18.5703125" bestFit="1" customWidth="1"/>
  </cols>
  <sheetData>
    <row r="1" spans="1:34">
      <c r="A1" s="20" t="s">
        <v>174</v>
      </c>
      <c r="B1" s="20"/>
      <c r="C1" s="20" t="s">
        <v>175</v>
      </c>
      <c r="D1" s="20"/>
      <c r="E1" s="20" t="s">
        <v>176</v>
      </c>
      <c r="F1" s="20"/>
      <c r="G1" s="20" t="s">
        <v>177</v>
      </c>
      <c r="H1" s="20"/>
      <c r="I1" s="20" t="s">
        <v>178</v>
      </c>
      <c r="J1" s="20"/>
      <c r="K1" s="20" t="s">
        <v>179</v>
      </c>
      <c r="L1" s="20"/>
      <c r="M1" s="20" t="s">
        <v>180</v>
      </c>
      <c r="N1" s="20"/>
      <c r="O1" s="20" t="s">
        <v>181</v>
      </c>
      <c r="P1" s="20"/>
      <c r="Q1" s="20" t="s">
        <v>182</v>
      </c>
      <c r="R1" s="20"/>
      <c r="S1" s="20" t="s">
        <v>183</v>
      </c>
      <c r="T1" s="20"/>
      <c r="U1" s="20" t="s">
        <v>184</v>
      </c>
      <c r="V1" s="20"/>
      <c r="W1" s="20" t="s">
        <v>185</v>
      </c>
      <c r="X1" s="20"/>
      <c r="Y1" s="20" t="s">
        <v>186</v>
      </c>
      <c r="Z1" s="20"/>
      <c r="AA1" s="20" t="s">
        <v>187</v>
      </c>
      <c r="AB1" s="20"/>
      <c r="AC1" s="20" t="s">
        <v>188</v>
      </c>
      <c r="AD1" s="20"/>
      <c r="AE1" s="20" t="s">
        <v>189</v>
      </c>
      <c r="AF1" s="20"/>
      <c r="AG1" s="20" t="s">
        <v>190</v>
      </c>
      <c r="AH1" s="20"/>
    </row>
    <row r="2" spans="1:34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</row>
    <row r="3" spans="1:34">
      <c r="A3" s="18" t="s">
        <v>268</v>
      </c>
      <c r="B3" s="18">
        <v>3273.4821428571399</v>
      </c>
      <c r="C3" s="18" t="s">
        <v>268</v>
      </c>
      <c r="D3" s="18">
        <v>3263.875</v>
      </c>
      <c r="E3" s="18" t="s">
        <v>268</v>
      </c>
      <c r="F3" s="18">
        <v>9.6071428571428577</v>
      </c>
      <c r="G3" s="18" t="s">
        <v>268</v>
      </c>
      <c r="H3" s="18">
        <v>24063.75</v>
      </c>
      <c r="I3" s="18" t="s">
        <v>268</v>
      </c>
      <c r="J3" s="18">
        <v>23955.857142857141</v>
      </c>
      <c r="K3" s="18" t="s">
        <v>268</v>
      </c>
      <c r="L3" s="18">
        <v>107.89285714285714</v>
      </c>
      <c r="M3" s="18" t="s">
        <v>268</v>
      </c>
      <c r="N3" s="18">
        <v>27337.5</v>
      </c>
      <c r="O3" s="18" t="s">
        <v>268</v>
      </c>
      <c r="P3" s="18">
        <v>27220</v>
      </c>
      <c r="Q3" s="18" t="s">
        <v>268</v>
      </c>
      <c r="R3" s="18">
        <v>117.5</v>
      </c>
      <c r="S3" s="18" t="s">
        <v>268</v>
      </c>
      <c r="T3" s="18">
        <v>19.928571428571427</v>
      </c>
      <c r="U3" s="18" t="s">
        <v>268</v>
      </c>
      <c r="V3" s="18">
        <v>104.78571428571429</v>
      </c>
      <c r="W3" s="18" t="s">
        <v>268</v>
      </c>
      <c r="X3" s="18">
        <v>21.5</v>
      </c>
      <c r="Y3" s="18" t="s">
        <v>268</v>
      </c>
      <c r="Z3" s="18">
        <v>16.375</v>
      </c>
      <c r="AA3" s="18" t="s">
        <v>268</v>
      </c>
      <c r="AB3" s="18">
        <v>8.3392857142857135</v>
      </c>
      <c r="AC3" s="18" t="s">
        <v>268</v>
      </c>
      <c r="AD3" s="18">
        <v>0.44642857142857145</v>
      </c>
      <c r="AE3" s="18" t="s">
        <v>268</v>
      </c>
      <c r="AF3" s="18">
        <v>14.964285714285714</v>
      </c>
      <c r="AG3" s="18" t="s">
        <v>268</v>
      </c>
      <c r="AH3" s="18">
        <v>5539.1428571428569</v>
      </c>
    </row>
    <row r="4" spans="1:34">
      <c r="A4" s="18" t="s">
        <v>269</v>
      </c>
      <c r="B4" s="18">
        <v>482.72814805982375</v>
      </c>
      <c r="C4" s="18" t="s">
        <v>269</v>
      </c>
      <c r="D4" s="18">
        <v>483.8048328348433</v>
      </c>
      <c r="E4" s="18" t="s">
        <v>269</v>
      </c>
      <c r="F4" s="18">
        <v>17.719892676733501</v>
      </c>
      <c r="G4" s="18" t="s">
        <v>269</v>
      </c>
      <c r="H4" s="18">
        <v>3244.4628562347593</v>
      </c>
      <c r="I4" s="18" t="s">
        <v>269</v>
      </c>
      <c r="J4" s="18">
        <v>3234.4235806368329</v>
      </c>
      <c r="K4" s="18" t="s">
        <v>269</v>
      </c>
      <c r="L4" s="18">
        <v>27.752976657614056</v>
      </c>
      <c r="M4" s="18" t="s">
        <v>269</v>
      </c>
      <c r="N4" s="18">
        <v>3645.5975602675308</v>
      </c>
      <c r="O4" s="18" t="s">
        <v>269</v>
      </c>
      <c r="P4" s="18">
        <v>3637.2506360725806</v>
      </c>
      <c r="Q4" s="18" t="s">
        <v>269</v>
      </c>
      <c r="R4" s="18">
        <v>32.544355346742776</v>
      </c>
      <c r="S4" s="18" t="s">
        <v>269</v>
      </c>
      <c r="T4" s="18">
        <v>6.5055349632216606</v>
      </c>
      <c r="U4" s="18" t="s">
        <v>269</v>
      </c>
      <c r="V4" s="18">
        <v>27.137058505692412</v>
      </c>
      <c r="W4" s="18" t="s">
        <v>269</v>
      </c>
      <c r="X4" s="18">
        <v>8.0944505601140015</v>
      </c>
      <c r="Y4" s="18" t="s">
        <v>269</v>
      </c>
      <c r="Z4" s="18">
        <v>11.472371172720806</v>
      </c>
      <c r="AA4" s="18" t="s">
        <v>269</v>
      </c>
      <c r="AB4" s="18">
        <v>6.7297207051960442</v>
      </c>
      <c r="AC4" s="18" t="s">
        <v>269</v>
      </c>
      <c r="AD4" s="18">
        <v>0.25086815864935658</v>
      </c>
      <c r="AE4" s="18" t="s">
        <v>269</v>
      </c>
      <c r="AF4" s="18">
        <v>7.3962066569831242</v>
      </c>
      <c r="AG4" s="18" t="s">
        <v>269</v>
      </c>
      <c r="AH4" s="18">
        <v>992.9747353047901</v>
      </c>
    </row>
    <row r="5" spans="1:34">
      <c r="A5" s="18" t="s">
        <v>270</v>
      </c>
      <c r="B5" s="18">
        <v>2196.5</v>
      </c>
      <c r="C5" s="18" t="s">
        <v>270</v>
      </c>
      <c r="D5" s="18">
        <v>2223</v>
      </c>
      <c r="E5" s="18" t="s">
        <v>270</v>
      </c>
      <c r="F5" s="18">
        <v>0</v>
      </c>
      <c r="G5" s="18" t="s">
        <v>270</v>
      </c>
      <c r="H5" s="18">
        <v>18840.5</v>
      </c>
      <c r="I5" s="18" t="s">
        <v>270</v>
      </c>
      <c r="J5" s="18">
        <v>18510</v>
      </c>
      <c r="K5" s="18" t="s">
        <v>270</v>
      </c>
      <c r="L5" s="18">
        <v>3</v>
      </c>
      <c r="M5" s="18" t="s">
        <v>270</v>
      </c>
      <c r="N5" s="18">
        <v>19691.5</v>
      </c>
      <c r="O5" s="18" t="s">
        <v>270</v>
      </c>
      <c r="P5" s="18">
        <v>19485</v>
      </c>
      <c r="Q5" s="18" t="s">
        <v>270</v>
      </c>
      <c r="R5" s="18">
        <v>0</v>
      </c>
      <c r="S5" s="18" t="s">
        <v>270</v>
      </c>
      <c r="T5" s="18">
        <v>0</v>
      </c>
      <c r="U5" s="18" t="s">
        <v>270</v>
      </c>
      <c r="V5" s="18">
        <v>0</v>
      </c>
      <c r="W5" s="18" t="s">
        <v>270</v>
      </c>
      <c r="X5" s="18">
        <v>0</v>
      </c>
      <c r="Y5" s="18" t="s">
        <v>270</v>
      </c>
      <c r="Z5" s="18">
        <v>0</v>
      </c>
      <c r="AA5" s="18" t="s">
        <v>270</v>
      </c>
      <c r="AB5" s="18">
        <v>0</v>
      </c>
      <c r="AC5" s="18" t="s">
        <v>270</v>
      </c>
      <c r="AD5" s="18">
        <v>0</v>
      </c>
      <c r="AE5" s="18" t="s">
        <v>270</v>
      </c>
      <c r="AF5" s="18">
        <v>0</v>
      </c>
      <c r="AG5" s="18" t="s">
        <v>270</v>
      </c>
      <c r="AH5" s="18">
        <v>2829</v>
      </c>
    </row>
    <row r="6" spans="1:34">
      <c r="A6" s="18" t="s">
        <v>271</v>
      </c>
      <c r="B6" s="18" t="e">
        <v>#N/A</v>
      </c>
      <c r="C6" s="18" t="s">
        <v>271</v>
      </c>
      <c r="D6" s="18" t="e">
        <v>#N/A</v>
      </c>
      <c r="E6" s="18" t="s">
        <v>271</v>
      </c>
      <c r="F6" s="18">
        <v>0</v>
      </c>
      <c r="G6" s="18" t="s">
        <v>271</v>
      </c>
      <c r="H6" s="18" t="e">
        <v>#N/A</v>
      </c>
      <c r="I6" s="18" t="s">
        <v>271</v>
      </c>
      <c r="J6" s="18" t="e">
        <v>#N/A</v>
      </c>
      <c r="K6" s="18" t="s">
        <v>271</v>
      </c>
      <c r="L6" s="18">
        <v>0</v>
      </c>
      <c r="M6" s="18" t="s">
        <v>271</v>
      </c>
      <c r="N6" s="18" t="e">
        <v>#N/A</v>
      </c>
      <c r="O6" s="18" t="s">
        <v>271</v>
      </c>
      <c r="P6" s="18" t="e">
        <v>#N/A</v>
      </c>
      <c r="Q6" s="18" t="s">
        <v>271</v>
      </c>
      <c r="R6" s="18">
        <v>0</v>
      </c>
      <c r="S6" s="18" t="s">
        <v>271</v>
      </c>
      <c r="T6" s="18">
        <v>0</v>
      </c>
      <c r="U6" s="18" t="s">
        <v>271</v>
      </c>
      <c r="V6" s="18">
        <v>0</v>
      </c>
      <c r="W6" s="18" t="s">
        <v>271</v>
      </c>
      <c r="X6" s="18">
        <v>0</v>
      </c>
      <c r="Y6" s="18" t="s">
        <v>271</v>
      </c>
      <c r="Z6" s="18">
        <v>0</v>
      </c>
      <c r="AA6" s="18" t="s">
        <v>271</v>
      </c>
      <c r="AB6" s="18">
        <v>0</v>
      </c>
      <c r="AC6" s="18" t="s">
        <v>271</v>
      </c>
      <c r="AD6" s="18">
        <v>0</v>
      </c>
      <c r="AE6" s="18" t="s">
        <v>271</v>
      </c>
      <c r="AF6" s="18">
        <v>0</v>
      </c>
      <c r="AG6" s="18" t="s">
        <v>271</v>
      </c>
      <c r="AH6" s="18" t="e">
        <v>#N/A</v>
      </c>
    </row>
    <row r="7" spans="1:34">
      <c r="A7" s="18" t="s">
        <v>272</v>
      </c>
      <c r="B7" s="18">
        <v>3612.4066819834889</v>
      </c>
      <c r="C7" s="18" t="s">
        <v>272</v>
      </c>
      <c r="D7" s="18">
        <v>3620.4638530668467</v>
      </c>
      <c r="E7" s="18" t="s">
        <v>272</v>
      </c>
      <c r="F7" s="18">
        <v>132.60353465348274</v>
      </c>
      <c r="G7" s="18" t="s">
        <v>272</v>
      </c>
      <c r="H7" s="18">
        <v>24279.336824288934</v>
      </c>
      <c r="I7" s="18" t="s">
        <v>272</v>
      </c>
      <c r="J7" s="18">
        <v>24204.209764891253</v>
      </c>
      <c r="K7" s="18" t="s">
        <v>272</v>
      </c>
      <c r="L7" s="18">
        <v>207.68426023185279</v>
      </c>
      <c r="M7" s="18" t="s">
        <v>272</v>
      </c>
      <c r="N7" s="18">
        <v>27281.15408116013</v>
      </c>
      <c r="O7" s="18" t="s">
        <v>272</v>
      </c>
      <c r="P7" s="18">
        <v>27218.691420018375</v>
      </c>
      <c r="Q7" s="18" t="s">
        <v>272</v>
      </c>
      <c r="R7" s="18">
        <v>243.53965516187222</v>
      </c>
      <c r="S7" s="18" t="s">
        <v>272</v>
      </c>
      <c r="T7" s="18">
        <v>48.682965900108933</v>
      </c>
      <c r="U7" s="18" t="s">
        <v>272</v>
      </c>
      <c r="V7" s="18">
        <v>203.07515082628126</v>
      </c>
      <c r="W7" s="18" t="s">
        <v>272</v>
      </c>
      <c r="X7" s="18">
        <v>60.573321460254043</v>
      </c>
      <c r="Y7" s="18" t="s">
        <v>272</v>
      </c>
      <c r="Z7" s="18">
        <v>85.851364684446452</v>
      </c>
      <c r="AA7" s="18" t="s">
        <v>272</v>
      </c>
      <c r="AB7" s="18">
        <v>50.360618375044631</v>
      </c>
      <c r="AC7" s="18" t="s">
        <v>272</v>
      </c>
      <c r="AD7" s="18">
        <v>1.8773253978334841</v>
      </c>
      <c r="AE7" s="18" t="s">
        <v>272</v>
      </c>
      <c r="AF7" s="18">
        <v>55.348142544415012</v>
      </c>
      <c r="AG7" s="18" t="s">
        <v>272</v>
      </c>
      <c r="AH7" s="18">
        <v>7430.7425064661338</v>
      </c>
    </row>
    <row r="8" spans="1:34">
      <c r="A8" s="18" t="s">
        <v>273</v>
      </c>
      <c r="B8" s="18">
        <v>13049482.036038959</v>
      </c>
      <c r="C8" s="18" t="s">
        <v>273</v>
      </c>
      <c r="D8" s="18">
        <v>13107758.511363637</v>
      </c>
      <c r="E8" s="18" t="s">
        <v>273</v>
      </c>
      <c r="F8" s="18">
        <v>17583.697402597401</v>
      </c>
      <c r="G8" s="18" t="s">
        <v>273</v>
      </c>
      <c r="H8" s="18">
        <v>589486196.62727273</v>
      </c>
      <c r="I8" s="18" t="s">
        <v>273</v>
      </c>
      <c r="J8" s="18">
        <v>585843770.34285712</v>
      </c>
      <c r="K8" s="18" t="s">
        <v>273</v>
      </c>
      <c r="L8" s="18">
        <v>43132.751948051948</v>
      </c>
      <c r="M8" s="18" t="s">
        <v>273</v>
      </c>
      <c r="N8" s="18">
        <v>744261368</v>
      </c>
      <c r="O8" s="18" t="s">
        <v>273</v>
      </c>
      <c r="P8" s="18">
        <v>740857162.61818182</v>
      </c>
      <c r="Q8" s="18" t="s">
        <v>273</v>
      </c>
      <c r="R8" s="18">
        <v>59311.563636363637</v>
      </c>
      <c r="S8" s="18" t="s">
        <v>273</v>
      </c>
      <c r="T8" s="18">
        <v>2370.031168831169</v>
      </c>
      <c r="U8" s="18" t="s">
        <v>273</v>
      </c>
      <c r="V8" s="18">
        <v>41239.516883116885</v>
      </c>
      <c r="W8" s="18" t="s">
        <v>273</v>
      </c>
      <c r="X8" s="18">
        <v>3669.1272727272726</v>
      </c>
      <c r="Y8" s="18" t="s">
        <v>273</v>
      </c>
      <c r="Z8" s="18">
        <v>7370.4568181818186</v>
      </c>
      <c r="AA8" s="18" t="s">
        <v>273</v>
      </c>
      <c r="AB8" s="18">
        <v>2536.1918831168832</v>
      </c>
      <c r="AC8" s="18" t="s">
        <v>273</v>
      </c>
      <c r="AD8" s="18">
        <v>3.5243506493506493</v>
      </c>
      <c r="AE8" s="18" t="s">
        <v>273</v>
      </c>
      <c r="AF8" s="18">
        <v>3063.4168831168831</v>
      </c>
      <c r="AG8" s="18" t="s">
        <v>273</v>
      </c>
      <c r="AH8" s="18">
        <v>55215934.197402596</v>
      </c>
    </row>
    <row r="9" spans="1:34">
      <c r="A9" s="18" t="s">
        <v>274</v>
      </c>
      <c r="B9" s="18">
        <v>5.5839048482584515</v>
      </c>
      <c r="C9" s="18" t="s">
        <v>274</v>
      </c>
      <c r="D9" s="18">
        <v>5.5304132528917505</v>
      </c>
      <c r="E9" s="18" t="s">
        <v>274</v>
      </c>
      <c r="F9" s="18">
        <v>11.901251053585412</v>
      </c>
      <c r="G9" s="18" t="s">
        <v>274</v>
      </c>
      <c r="H9" s="18">
        <v>1.7416472270637486</v>
      </c>
      <c r="I9" s="18" t="s">
        <v>274</v>
      </c>
      <c r="J9" s="18">
        <v>1.771462692809167</v>
      </c>
      <c r="K9" s="18" t="s">
        <v>274</v>
      </c>
      <c r="L9" s="18">
        <v>4.6575194227921273</v>
      </c>
      <c r="M9" s="18" t="s">
        <v>274</v>
      </c>
      <c r="N9" s="18">
        <v>1.9756025978572707</v>
      </c>
      <c r="O9" s="18" t="s">
        <v>274</v>
      </c>
      <c r="P9" s="18">
        <v>1.9905233156875397</v>
      </c>
      <c r="Q9" s="18" t="s">
        <v>274</v>
      </c>
      <c r="R9" s="18">
        <v>3.7230559175656897</v>
      </c>
      <c r="S9" s="18" t="s">
        <v>274</v>
      </c>
      <c r="T9" s="18">
        <v>10.07443553286291</v>
      </c>
      <c r="U9" s="18" t="s">
        <v>274</v>
      </c>
      <c r="V9" s="18">
        <v>4.7904330641098172</v>
      </c>
      <c r="W9" s="18" t="s">
        <v>274</v>
      </c>
      <c r="X9" s="18">
        <v>21.740321028046271</v>
      </c>
      <c r="Y9" s="18" t="s">
        <v>274</v>
      </c>
      <c r="Z9" s="18">
        <v>52.933827937795407</v>
      </c>
      <c r="AA9" s="18" t="s">
        <v>274</v>
      </c>
      <c r="AB9" s="18">
        <v>52.592009815346003</v>
      </c>
      <c r="AC9" s="18" t="s">
        <v>274</v>
      </c>
      <c r="AD9" s="18">
        <v>37.898995869817178</v>
      </c>
      <c r="AE9" s="18" t="s">
        <v>274</v>
      </c>
      <c r="AF9" s="18">
        <v>32.121663280308006</v>
      </c>
      <c r="AG9" s="18" t="s">
        <v>274</v>
      </c>
      <c r="AH9" s="18">
        <v>5.597452768558715</v>
      </c>
    </row>
    <row r="10" spans="1:34">
      <c r="A10" s="18" t="s">
        <v>275</v>
      </c>
      <c r="B10" s="18">
        <v>2.158554585678174</v>
      </c>
      <c r="C10" s="18" t="s">
        <v>275</v>
      </c>
      <c r="D10" s="18">
        <v>2.1600005326168654</v>
      </c>
      <c r="E10" s="18" t="s">
        <v>275</v>
      </c>
      <c r="F10" s="18">
        <v>0.74748959879517718</v>
      </c>
      <c r="G10" s="18" t="s">
        <v>275</v>
      </c>
      <c r="H10" s="18">
        <v>1.4892082579919839</v>
      </c>
      <c r="I10" s="18" t="s">
        <v>275</v>
      </c>
      <c r="J10" s="18">
        <v>1.4945097834360372</v>
      </c>
      <c r="K10" s="18" t="s">
        <v>275</v>
      </c>
      <c r="L10" s="18">
        <v>2.0217131253022251</v>
      </c>
      <c r="M10" s="18" t="s">
        <v>275</v>
      </c>
      <c r="N10" s="18">
        <v>1.5139571444189353</v>
      </c>
      <c r="O10" s="18" t="s">
        <v>275</v>
      </c>
      <c r="P10" s="18">
        <v>1.5159959582376419</v>
      </c>
      <c r="Q10" s="18" t="s">
        <v>275</v>
      </c>
      <c r="R10" s="18">
        <v>1.7811417526580395</v>
      </c>
      <c r="S10" s="18" t="s">
        <v>275</v>
      </c>
      <c r="T10" s="18">
        <v>3.1518304138065014</v>
      </c>
      <c r="U10" s="18" t="s">
        <v>275</v>
      </c>
      <c r="V10" s="18">
        <v>2.2226776706631264</v>
      </c>
      <c r="W10" s="18" t="s">
        <v>275</v>
      </c>
      <c r="X10" s="18">
        <v>4.277582579918727</v>
      </c>
      <c r="Y10" s="18" t="s">
        <v>275</v>
      </c>
      <c r="Z10" s="18">
        <v>7.1947542467277552</v>
      </c>
      <c r="AA10" s="18" t="s">
        <v>275</v>
      </c>
      <c r="AB10" s="18">
        <v>7.1711013981085951</v>
      </c>
      <c r="AC10" s="18" t="s">
        <v>275</v>
      </c>
      <c r="AD10" s="18">
        <v>5.8831395390756036</v>
      </c>
      <c r="AE10" s="18" t="s">
        <v>275</v>
      </c>
      <c r="AF10" s="18">
        <v>5.3157885334296182</v>
      </c>
      <c r="AG10" s="18" t="s">
        <v>275</v>
      </c>
      <c r="AH10" s="18">
        <v>2.2926628761678463</v>
      </c>
    </row>
    <row r="11" spans="1:34">
      <c r="A11" s="18" t="s">
        <v>276</v>
      </c>
      <c r="B11" s="18">
        <v>17203</v>
      </c>
      <c r="C11" s="18" t="s">
        <v>276</v>
      </c>
      <c r="D11" s="18">
        <v>17283</v>
      </c>
      <c r="E11" s="18" t="s">
        <v>276</v>
      </c>
      <c r="F11" s="18">
        <v>1129</v>
      </c>
      <c r="G11" s="18" t="s">
        <v>276</v>
      </c>
      <c r="H11" s="18">
        <v>103879</v>
      </c>
      <c r="I11" s="18" t="s">
        <v>276</v>
      </c>
      <c r="J11" s="18">
        <v>103762</v>
      </c>
      <c r="K11" s="18" t="s">
        <v>276</v>
      </c>
      <c r="L11" s="18">
        <v>1165</v>
      </c>
      <c r="M11" s="18" t="s">
        <v>276</v>
      </c>
      <c r="N11" s="18">
        <v>121088</v>
      </c>
      <c r="O11" s="18" t="s">
        <v>276</v>
      </c>
      <c r="P11" s="18">
        <v>121051</v>
      </c>
      <c r="Q11" s="18" t="s">
        <v>276</v>
      </c>
      <c r="R11" s="18">
        <v>1417</v>
      </c>
      <c r="S11" s="18" t="s">
        <v>276</v>
      </c>
      <c r="T11" s="18">
        <v>233</v>
      </c>
      <c r="U11" s="18" t="s">
        <v>276</v>
      </c>
      <c r="V11" s="18">
        <v>888</v>
      </c>
      <c r="W11" s="18" t="s">
        <v>276</v>
      </c>
      <c r="X11" s="18">
        <v>376</v>
      </c>
      <c r="Y11" s="18" t="s">
        <v>276</v>
      </c>
      <c r="Z11" s="18">
        <v>639</v>
      </c>
      <c r="AA11" s="18" t="s">
        <v>276</v>
      </c>
      <c r="AB11" s="18">
        <v>373</v>
      </c>
      <c r="AC11" s="18" t="s">
        <v>276</v>
      </c>
      <c r="AD11" s="18">
        <v>13</v>
      </c>
      <c r="AE11" s="18" t="s">
        <v>276</v>
      </c>
      <c r="AF11" s="18">
        <v>371</v>
      </c>
      <c r="AG11" s="18" t="s">
        <v>276</v>
      </c>
      <c r="AH11" s="18">
        <v>33178</v>
      </c>
    </row>
    <row r="12" spans="1:34">
      <c r="A12" s="18" t="s">
        <v>277</v>
      </c>
      <c r="B12" s="18">
        <v>38</v>
      </c>
      <c r="C12" s="18" t="s">
        <v>277</v>
      </c>
      <c r="D12" s="18">
        <v>38</v>
      </c>
      <c r="E12" s="18" t="s">
        <v>277</v>
      </c>
      <c r="F12" s="18">
        <v>-530</v>
      </c>
      <c r="G12" s="18" t="s">
        <v>277</v>
      </c>
      <c r="H12" s="18">
        <v>345</v>
      </c>
      <c r="I12" s="18" t="s">
        <v>277</v>
      </c>
      <c r="J12" s="18">
        <v>345</v>
      </c>
      <c r="K12" s="18" t="s">
        <v>277</v>
      </c>
      <c r="L12" s="18">
        <v>-253</v>
      </c>
      <c r="M12" s="18" t="s">
        <v>277</v>
      </c>
      <c r="N12" s="18">
        <v>383</v>
      </c>
      <c r="O12" s="18" t="s">
        <v>277</v>
      </c>
      <c r="P12" s="18">
        <v>383</v>
      </c>
      <c r="Q12" s="18" t="s">
        <v>277</v>
      </c>
      <c r="R12" s="18">
        <v>-366</v>
      </c>
      <c r="S12" s="18" t="s">
        <v>277</v>
      </c>
      <c r="T12" s="18">
        <v>0</v>
      </c>
      <c r="U12" s="18" t="s">
        <v>277</v>
      </c>
      <c r="V12" s="18">
        <v>0</v>
      </c>
      <c r="W12" s="18" t="s">
        <v>277</v>
      </c>
      <c r="X12" s="18">
        <v>0</v>
      </c>
      <c r="Y12" s="18" t="s">
        <v>277</v>
      </c>
      <c r="Z12" s="18">
        <v>0</v>
      </c>
      <c r="AA12" s="18" t="s">
        <v>277</v>
      </c>
      <c r="AB12" s="18">
        <v>0</v>
      </c>
      <c r="AC12" s="18" t="s">
        <v>277</v>
      </c>
      <c r="AD12" s="18">
        <v>0</v>
      </c>
      <c r="AE12" s="18" t="s">
        <v>277</v>
      </c>
      <c r="AF12" s="18">
        <v>0</v>
      </c>
      <c r="AG12" s="18" t="s">
        <v>277</v>
      </c>
      <c r="AH12" s="18">
        <v>0</v>
      </c>
    </row>
    <row r="13" spans="1:34">
      <c r="A13" s="18" t="s">
        <v>278</v>
      </c>
      <c r="B13" s="18">
        <v>17241</v>
      </c>
      <c r="C13" s="18" t="s">
        <v>278</v>
      </c>
      <c r="D13" s="18">
        <v>17321</v>
      </c>
      <c r="E13" s="18" t="s">
        <v>278</v>
      </c>
      <c r="F13" s="18">
        <v>599</v>
      </c>
      <c r="G13" s="18" t="s">
        <v>278</v>
      </c>
      <c r="H13" s="18">
        <v>104224</v>
      </c>
      <c r="I13" s="18" t="s">
        <v>278</v>
      </c>
      <c r="J13" s="18">
        <v>104107</v>
      </c>
      <c r="K13" s="18" t="s">
        <v>278</v>
      </c>
      <c r="L13" s="18">
        <v>912</v>
      </c>
      <c r="M13" s="18" t="s">
        <v>278</v>
      </c>
      <c r="N13" s="18">
        <v>121471</v>
      </c>
      <c r="O13" s="18" t="s">
        <v>278</v>
      </c>
      <c r="P13" s="18">
        <v>121434</v>
      </c>
      <c r="Q13" s="18" t="s">
        <v>278</v>
      </c>
      <c r="R13" s="18">
        <v>1051</v>
      </c>
      <c r="S13" s="18" t="s">
        <v>278</v>
      </c>
      <c r="T13" s="18">
        <v>233</v>
      </c>
      <c r="U13" s="18" t="s">
        <v>278</v>
      </c>
      <c r="V13" s="18">
        <v>888</v>
      </c>
      <c r="W13" s="18" t="s">
        <v>278</v>
      </c>
      <c r="X13" s="18">
        <v>376</v>
      </c>
      <c r="Y13" s="18" t="s">
        <v>278</v>
      </c>
      <c r="Z13" s="18">
        <v>639</v>
      </c>
      <c r="AA13" s="18" t="s">
        <v>278</v>
      </c>
      <c r="AB13" s="18">
        <v>373</v>
      </c>
      <c r="AC13" s="18" t="s">
        <v>278</v>
      </c>
      <c r="AD13" s="18">
        <v>13</v>
      </c>
      <c r="AE13" s="18" t="s">
        <v>278</v>
      </c>
      <c r="AF13" s="18">
        <v>371</v>
      </c>
      <c r="AG13" s="18" t="s">
        <v>278</v>
      </c>
      <c r="AH13" s="18">
        <v>33178</v>
      </c>
    </row>
    <row r="14" spans="1:34">
      <c r="A14" s="18" t="s">
        <v>279</v>
      </c>
      <c r="B14" s="18">
        <v>183315</v>
      </c>
      <c r="C14" s="18" t="s">
        <v>279</v>
      </c>
      <c r="D14" s="18">
        <v>182777</v>
      </c>
      <c r="E14" s="18" t="s">
        <v>279</v>
      </c>
      <c r="F14" s="18">
        <v>538</v>
      </c>
      <c r="G14" s="18" t="s">
        <v>279</v>
      </c>
      <c r="H14" s="18">
        <v>1347570</v>
      </c>
      <c r="I14" s="18" t="s">
        <v>279</v>
      </c>
      <c r="J14" s="18">
        <v>1341528</v>
      </c>
      <c r="K14" s="18" t="s">
        <v>279</v>
      </c>
      <c r="L14" s="18">
        <v>6042</v>
      </c>
      <c r="M14" s="18" t="s">
        <v>279</v>
      </c>
      <c r="N14" s="18">
        <v>1530900</v>
      </c>
      <c r="O14" s="18" t="s">
        <v>279</v>
      </c>
      <c r="P14" s="18">
        <v>1524320</v>
      </c>
      <c r="Q14" s="18" t="s">
        <v>279</v>
      </c>
      <c r="R14" s="18">
        <v>6580</v>
      </c>
      <c r="S14" s="18" t="s">
        <v>279</v>
      </c>
      <c r="T14" s="18">
        <v>1116</v>
      </c>
      <c r="U14" s="18" t="s">
        <v>279</v>
      </c>
      <c r="V14" s="18">
        <v>5868</v>
      </c>
      <c r="W14" s="18" t="s">
        <v>279</v>
      </c>
      <c r="X14" s="18">
        <v>1204</v>
      </c>
      <c r="Y14" s="18" t="s">
        <v>279</v>
      </c>
      <c r="Z14" s="18">
        <v>917</v>
      </c>
      <c r="AA14" s="18" t="s">
        <v>279</v>
      </c>
      <c r="AB14" s="18">
        <v>467</v>
      </c>
      <c r="AC14" s="18" t="s">
        <v>279</v>
      </c>
      <c r="AD14" s="18">
        <v>25</v>
      </c>
      <c r="AE14" s="18" t="s">
        <v>279</v>
      </c>
      <c r="AF14" s="18">
        <v>838</v>
      </c>
      <c r="AG14" s="18" t="s">
        <v>279</v>
      </c>
      <c r="AH14" s="18">
        <v>310192</v>
      </c>
    </row>
    <row r="15" spans="1:34" ht="15.75" thickBot="1">
      <c r="A15" s="19" t="s">
        <v>280</v>
      </c>
      <c r="B15" s="19">
        <v>56</v>
      </c>
      <c r="C15" s="19" t="s">
        <v>280</v>
      </c>
      <c r="D15" s="19">
        <v>56</v>
      </c>
      <c r="E15" s="19" t="s">
        <v>280</v>
      </c>
      <c r="F15" s="19">
        <v>56</v>
      </c>
      <c r="G15" s="19" t="s">
        <v>280</v>
      </c>
      <c r="H15" s="19">
        <v>56</v>
      </c>
      <c r="I15" s="19" t="s">
        <v>280</v>
      </c>
      <c r="J15" s="19">
        <v>56</v>
      </c>
      <c r="K15" s="19" t="s">
        <v>280</v>
      </c>
      <c r="L15" s="19">
        <v>56</v>
      </c>
      <c r="M15" s="19" t="s">
        <v>280</v>
      </c>
      <c r="N15" s="19">
        <v>56</v>
      </c>
      <c r="O15" s="19" t="s">
        <v>280</v>
      </c>
      <c r="P15" s="19">
        <v>56</v>
      </c>
      <c r="Q15" s="19" t="s">
        <v>280</v>
      </c>
      <c r="R15" s="19">
        <v>56</v>
      </c>
      <c r="S15" s="19" t="s">
        <v>280</v>
      </c>
      <c r="T15" s="19">
        <v>56</v>
      </c>
      <c r="U15" s="19" t="s">
        <v>280</v>
      </c>
      <c r="V15" s="19">
        <v>56</v>
      </c>
      <c r="W15" s="19" t="s">
        <v>280</v>
      </c>
      <c r="X15" s="19">
        <v>56</v>
      </c>
      <c r="Y15" s="19" t="s">
        <v>280</v>
      </c>
      <c r="Z15" s="19">
        <v>56</v>
      </c>
      <c r="AA15" s="19" t="s">
        <v>280</v>
      </c>
      <c r="AB15" s="19">
        <v>56</v>
      </c>
      <c r="AC15" s="19" t="s">
        <v>280</v>
      </c>
      <c r="AD15" s="19">
        <v>56</v>
      </c>
      <c r="AE15" s="19" t="s">
        <v>280</v>
      </c>
      <c r="AF15" s="19">
        <v>56</v>
      </c>
      <c r="AG15" s="19" t="s">
        <v>280</v>
      </c>
      <c r="AH15" s="19">
        <v>56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6128F-6F51-4974-A323-03D572303DE9}">
  <dimension ref="A1:AH15"/>
  <sheetViews>
    <sheetView topLeftCell="V1" workbookViewId="0">
      <selection activeCell="J3" sqref="J3"/>
    </sheetView>
  </sheetViews>
  <sheetFormatPr defaultRowHeight="15"/>
  <cols>
    <col min="1" max="1" width="18.140625" bestFit="1" customWidth="1"/>
    <col min="3" max="3" width="18.140625" bestFit="1" customWidth="1"/>
    <col min="5" max="5" width="18.140625" bestFit="1" customWidth="1"/>
    <col min="7" max="7" width="18.140625" bestFit="1" customWidth="1"/>
    <col min="9" max="9" width="18.140625" bestFit="1" customWidth="1"/>
    <col min="11" max="11" width="18.140625" bestFit="1" customWidth="1"/>
    <col min="13" max="13" width="20" bestFit="1" customWidth="1"/>
    <col min="15" max="15" width="20.140625" bestFit="1" customWidth="1"/>
  </cols>
  <sheetData>
    <row r="1" spans="1:34">
      <c r="A1" s="20" t="s">
        <v>174</v>
      </c>
      <c r="B1" s="20"/>
      <c r="C1" s="20" t="s">
        <v>175</v>
      </c>
      <c r="D1" s="20"/>
      <c r="E1" s="20" t="s">
        <v>176</v>
      </c>
      <c r="F1" s="20"/>
      <c r="G1" s="20" t="s">
        <v>177</v>
      </c>
      <c r="H1" s="20"/>
      <c r="I1" s="20" t="s">
        <v>178</v>
      </c>
      <c r="J1" s="20"/>
      <c r="K1" s="20" t="s">
        <v>179</v>
      </c>
      <c r="L1" s="20"/>
      <c r="M1" s="20" t="s">
        <v>180</v>
      </c>
      <c r="N1" s="20"/>
      <c r="O1" s="20" t="s">
        <v>181</v>
      </c>
      <c r="P1" s="20"/>
      <c r="Q1" s="20" t="s">
        <v>182</v>
      </c>
      <c r="R1" s="20"/>
      <c r="S1" s="20" t="s">
        <v>183</v>
      </c>
      <c r="T1" s="20"/>
      <c r="U1" s="20" t="s">
        <v>184</v>
      </c>
      <c r="V1" s="20"/>
      <c r="W1" s="20" t="s">
        <v>185</v>
      </c>
      <c r="X1" s="20"/>
      <c r="Y1" s="20" t="s">
        <v>186</v>
      </c>
      <c r="Z1" s="20"/>
      <c r="AA1" s="20" t="s">
        <v>187</v>
      </c>
      <c r="AB1" s="20"/>
      <c r="AC1" s="20" t="s">
        <v>188</v>
      </c>
      <c r="AD1" s="20"/>
      <c r="AE1" s="20" t="s">
        <v>189</v>
      </c>
      <c r="AF1" s="20"/>
      <c r="AG1" s="20" t="s">
        <v>190</v>
      </c>
      <c r="AH1" s="20"/>
    </row>
    <row r="2" spans="1:34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</row>
    <row r="3" spans="1:34">
      <c r="A3" s="18" t="s">
        <v>268</v>
      </c>
      <c r="B3" s="18">
        <v>3304.7291666666665</v>
      </c>
      <c r="C3" s="18" t="s">
        <v>268</v>
      </c>
      <c r="D3" s="18">
        <v>3284.7916666666665</v>
      </c>
      <c r="E3" s="18" t="s">
        <v>268</v>
      </c>
      <c r="F3" s="18">
        <v>19.9375</v>
      </c>
      <c r="G3" s="18" t="s">
        <v>268</v>
      </c>
      <c r="H3" s="18">
        <v>24918.708333333332</v>
      </c>
      <c r="I3" s="18" t="s">
        <v>268</v>
      </c>
      <c r="J3" s="18">
        <v>24812.166666666668</v>
      </c>
      <c r="K3" s="18" t="s">
        <v>268</v>
      </c>
      <c r="L3" s="18">
        <v>106.54166666666667</v>
      </c>
      <c r="M3" s="18" t="s">
        <v>268</v>
      </c>
      <c r="N3" s="18">
        <v>28223.75</v>
      </c>
      <c r="O3" s="18" t="s">
        <v>268</v>
      </c>
      <c r="P3" s="18">
        <v>28097.270833333332</v>
      </c>
      <c r="Q3" s="18" t="s">
        <v>268</v>
      </c>
      <c r="R3" s="18">
        <v>126.47916666666667</v>
      </c>
      <c r="S3" s="18" t="s">
        <v>268</v>
      </c>
      <c r="T3" s="18">
        <v>18.333333333333332</v>
      </c>
      <c r="U3" s="18" t="s">
        <v>268</v>
      </c>
      <c r="V3" s="18">
        <v>105.0625</v>
      </c>
      <c r="W3" s="18" t="s">
        <v>268</v>
      </c>
      <c r="X3" s="18">
        <v>23.791666666666668</v>
      </c>
      <c r="Y3" s="18" t="s">
        <v>268</v>
      </c>
      <c r="Z3" s="18">
        <v>16.416666666666668</v>
      </c>
      <c r="AA3" s="18" t="s">
        <v>268</v>
      </c>
      <c r="AB3" s="18">
        <v>1.9375</v>
      </c>
      <c r="AC3" s="18" t="s">
        <v>268</v>
      </c>
      <c r="AD3" s="18">
        <v>0.4375</v>
      </c>
      <c r="AE3" s="18" t="s">
        <v>268</v>
      </c>
      <c r="AF3" s="18">
        <v>17.083333333333332</v>
      </c>
      <c r="AG3" s="18" t="s">
        <v>268</v>
      </c>
      <c r="AH3" s="18">
        <v>5845.958333333333</v>
      </c>
    </row>
    <row r="4" spans="1:34">
      <c r="A4" s="18" t="s">
        <v>269</v>
      </c>
      <c r="B4" s="18">
        <v>543.02914412108578</v>
      </c>
      <c r="C4" s="18" t="s">
        <v>269</v>
      </c>
      <c r="D4" s="18">
        <v>542.27315007227003</v>
      </c>
      <c r="E4" s="18" t="s">
        <v>269</v>
      </c>
      <c r="F4" s="18">
        <v>17.206464392439777</v>
      </c>
      <c r="G4" s="18" t="s">
        <v>269</v>
      </c>
      <c r="H4" s="18">
        <v>3708.5781198543405</v>
      </c>
      <c r="I4" s="18" t="s">
        <v>269</v>
      </c>
      <c r="J4" s="18">
        <v>3697.1927202857314</v>
      </c>
      <c r="K4" s="18" t="s">
        <v>269</v>
      </c>
      <c r="L4" s="18">
        <v>30.915707842943853</v>
      </c>
      <c r="M4" s="18" t="s">
        <v>269</v>
      </c>
      <c r="N4" s="18">
        <v>4160.2706254355262</v>
      </c>
      <c r="O4" s="18" t="s">
        <v>269</v>
      </c>
      <c r="P4" s="18">
        <v>4149.9009720453951</v>
      </c>
      <c r="Q4" s="18" t="s">
        <v>269</v>
      </c>
      <c r="R4" s="18">
        <v>35.166990052418853</v>
      </c>
      <c r="S4" s="18" t="s">
        <v>269</v>
      </c>
      <c r="T4" s="18">
        <v>6.0347937184783955</v>
      </c>
      <c r="U4" s="18" t="s">
        <v>269</v>
      </c>
      <c r="V4" s="18">
        <v>30.212814995262249</v>
      </c>
      <c r="W4" s="18" t="s">
        <v>269</v>
      </c>
      <c r="X4" s="18">
        <v>9.3812075587339656</v>
      </c>
      <c r="Y4" s="18" t="s">
        <v>269</v>
      </c>
      <c r="Z4" s="18">
        <v>13.298497266639846</v>
      </c>
      <c r="AA4" s="18" t="s">
        <v>269</v>
      </c>
      <c r="AB4" s="18">
        <v>1.3439535760356485</v>
      </c>
      <c r="AC4" s="18" t="s">
        <v>269</v>
      </c>
      <c r="AD4" s="18">
        <v>0.28231918521493637</v>
      </c>
      <c r="AE4" s="18" t="s">
        <v>269</v>
      </c>
      <c r="AF4" s="18">
        <v>8.5968013871343167</v>
      </c>
      <c r="AG4" s="18" t="s">
        <v>269</v>
      </c>
      <c r="AH4" s="18">
        <v>1139.9317211411264</v>
      </c>
    </row>
    <row r="5" spans="1:34">
      <c r="A5" s="18" t="s">
        <v>270</v>
      </c>
      <c r="B5" s="18">
        <v>2020.5</v>
      </c>
      <c r="C5" s="18" t="s">
        <v>270</v>
      </c>
      <c r="D5" s="18">
        <v>2067</v>
      </c>
      <c r="E5" s="18" t="s">
        <v>270</v>
      </c>
      <c r="F5" s="18">
        <v>0</v>
      </c>
      <c r="G5" s="18" t="s">
        <v>270</v>
      </c>
      <c r="H5" s="18">
        <v>16025.5</v>
      </c>
      <c r="I5" s="18" t="s">
        <v>270</v>
      </c>
      <c r="J5" s="18">
        <v>15892</v>
      </c>
      <c r="K5" s="18" t="s">
        <v>270</v>
      </c>
      <c r="L5" s="18">
        <v>3</v>
      </c>
      <c r="M5" s="18" t="s">
        <v>270</v>
      </c>
      <c r="N5" s="18">
        <v>18501.5</v>
      </c>
      <c r="O5" s="18" t="s">
        <v>270</v>
      </c>
      <c r="P5" s="18">
        <v>18122</v>
      </c>
      <c r="Q5" s="18" t="s">
        <v>270</v>
      </c>
      <c r="R5" s="18">
        <v>0</v>
      </c>
      <c r="S5" s="18" t="s">
        <v>270</v>
      </c>
      <c r="T5" s="18">
        <v>0</v>
      </c>
      <c r="U5" s="18" t="s">
        <v>270</v>
      </c>
      <c r="V5" s="18">
        <v>0</v>
      </c>
      <c r="W5" s="18" t="s">
        <v>270</v>
      </c>
      <c r="X5" s="18">
        <v>0</v>
      </c>
      <c r="Y5" s="18" t="s">
        <v>270</v>
      </c>
      <c r="Z5" s="18">
        <v>0</v>
      </c>
      <c r="AA5" s="18" t="s">
        <v>270</v>
      </c>
      <c r="AB5" s="18">
        <v>0</v>
      </c>
      <c r="AC5" s="18" t="s">
        <v>270</v>
      </c>
      <c r="AD5" s="18">
        <v>0</v>
      </c>
      <c r="AE5" s="18" t="s">
        <v>270</v>
      </c>
      <c r="AF5" s="18">
        <v>0</v>
      </c>
      <c r="AG5" s="18" t="s">
        <v>270</v>
      </c>
      <c r="AH5" s="18">
        <v>2470</v>
      </c>
    </row>
    <row r="6" spans="1:34">
      <c r="A6" s="18" t="s">
        <v>271</v>
      </c>
      <c r="B6" s="18" t="e">
        <v>#N/A</v>
      </c>
      <c r="C6" s="18" t="s">
        <v>271</v>
      </c>
      <c r="D6" s="18" t="e">
        <v>#N/A</v>
      </c>
      <c r="E6" s="18" t="s">
        <v>271</v>
      </c>
      <c r="F6" s="18">
        <v>0</v>
      </c>
      <c r="G6" s="18" t="s">
        <v>271</v>
      </c>
      <c r="H6" s="18" t="e">
        <v>#N/A</v>
      </c>
      <c r="I6" s="18" t="s">
        <v>271</v>
      </c>
      <c r="J6" s="18" t="e">
        <v>#N/A</v>
      </c>
      <c r="K6" s="18" t="s">
        <v>271</v>
      </c>
      <c r="L6" s="18">
        <v>0</v>
      </c>
      <c r="M6" s="18" t="s">
        <v>271</v>
      </c>
      <c r="N6" s="18" t="e">
        <v>#N/A</v>
      </c>
      <c r="O6" s="18" t="s">
        <v>271</v>
      </c>
      <c r="P6" s="18" t="e">
        <v>#N/A</v>
      </c>
      <c r="Q6" s="18" t="s">
        <v>271</v>
      </c>
      <c r="R6" s="18">
        <v>0</v>
      </c>
      <c r="S6" s="18" t="s">
        <v>271</v>
      </c>
      <c r="T6" s="18">
        <v>0</v>
      </c>
      <c r="U6" s="18" t="s">
        <v>271</v>
      </c>
      <c r="V6" s="18">
        <v>0</v>
      </c>
      <c r="W6" s="18" t="s">
        <v>271</v>
      </c>
      <c r="X6" s="18">
        <v>0</v>
      </c>
      <c r="Y6" s="18" t="s">
        <v>271</v>
      </c>
      <c r="Z6" s="18">
        <v>0</v>
      </c>
      <c r="AA6" s="18" t="s">
        <v>271</v>
      </c>
      <c r="AB6" s="18">
        <v>0</v>
      </c>
      <c r="AC6" s="18" t="s">
        <v>271</v>
      </c>
      <c r="AD6" s="18">
        <v>0</v>
      </c>
      <c r="AE6" s="18" t="s">
        <v>271</v>
      </c>
      <c r="AF6" s="18">
        <v>0</v>
      </c>
      <c r="AG6" s="18" t="s">
        <v>271</v>
      </c>
      <c r="AH6" s="18" t="e">
        <v>#N/A</v>
      </c>
    </row>
    <row r="7" spans="1:34">
      <c r="A7" s="18" t="s">
        <v>272</v>
      </c>
      <c r="B7" s="18">
        <v>3762.216270433451</v>
      </c>
      <c r="C7" s="18" t="s">
        <v>272</v>
      </c>
      <c r="D7" s="18">
        <v>3756.9785900223769</v>
      </c>
      <c r="E7" s="18" t="s">
        <v>272</v>
      </c>
      <c r="F7" s="18">
        <v>119.20988218532177</v>
      </c>
      <c r="G7" s="18" t="s">
        <v>272</v>
      </c>
      <c r="H7" s="18">
        <v>25693.782909703914</v>
      </c>
      <c r="I7" s="18" t="s">
        <v>272</v>
      </c>
      <c r="J7" s="18">
        <v>25614.902547634701</v>
      </c>
      <c r="K7" s="18" t="s">
        <v>272</v>
      </c>
      <c r="L7" s="18">
        <v>214.19030694373748</v>
      </c>
      <c r="M7" s="18" t="s">
        <v>272</v>
      </c>
      <c r="N7" s="18">
        <v>28823.200385962722</v>
      </c>
      <c r="O7" s="18" t="s">
        <v>272</v>
      </c>
      <c r="P7" s="18">
        <v>28751.357319848383</v>
      </c>
      <c r="Q7" s="18" t="s">
        <v>272</v>
      </c>
      <c r="R7" s="18">
        <v>243.64405408023501</v>
      </c>
      <c r="S7" s="18" t="s">
        <v>272</v>
      </c>
      <c r="T7" s="18">
        <v>41.810277334408369</v>
      </c>
      <c r="U7" s="18" t="s">
        <v>272</v>
      </c>
      <c r="V7" s="18">
        <v>209.32052244589224</v>
      </c>
      <c r="W7" s="18" t="s">
        <v>272</v>
      </c>
      <c r="X7" s="18">
        <v>64.994912512305675</v>
      </c>
      <c r="Y7" s="18" t="s">
        <v>272</v>
      </c>
      <c r="Z7" s="18">
        <v>92.134691720544197</v>
      </c>
      <c r="AA7" s="18" t="s">
        <v>272</v>
      </c>
      <c r="AB7" s="18">
        <v>9.3111835068305009</v>
      </c>
      <c r="AC7" s="18" t="s">
        <v>272</v>
      </c>
      <c r="AD7" s="18">
        <v>1.9559646909748718</v>
      </c>
      <c r="AE7" s="18" t="s">
        <v>272</v>
      </c>
      <c r="AF7" s="18">
        <v>59.560387140380953</v>
      </c>
      <c r="AG7" s="18" t="s">
        <v>272</v>
      </c>
      <c r="AH7" s="18">
        <v>7897.6786327034733</v>
      </c>
    </row>
    <row r="8" spans="1:34">
      <c r="A8" s="18" t="s">
        <v>273</v>
      </c>
      <c r="B8" s="18">
        <v>14154271.265514186</v>
      </c>
      <c r="C8" s="18" t="s">
        <v>273</v>
      </c>
      <c r="D8" s="18">
        <v>14114888.125886526</v>
      </c>
      <c r="E8" s="18" t="s">
        <v>273</v>
      </c>
      <c r="F8" s="18">
        <v>14210.996010638299</v>
      </c>
      <c r="G8" s="18" t="s">
        <v>273</v>
      </c>
      <c r="H8" s="18">
        <v>660170480.21099293</v>
      </c>
      <c r="I8" s="18" t="s">
        <v>273</v>
      </c>
      <c r="J8" s="18">
        <v>656123232.52482271</v>
      </c>
      <c r="K8" s="18" t="s">
        <v>273</v>
      </c>
      <c r="L8" s="18">
        <v>45877.487588652482</v>
      </c>
      <c r="M8" s="18" t="s">
        <v>273</v>
      </c>
      <c r="N8" s="18">
        <v>830776880.48936164</v>
      </c>
      <c r="O8" s="18" t="s">
        <v>273</v>
      </c>
      <c r="P8" s="18">
        <v>826640547.73359919</v>
      </c>
      <c r="Q8" s="18" t="s">
        <v>273</v>
      </c>
      <c r="R8" s="18">
        <v>59362.425088652482</v>
      </c>
      <c r="S8" s="18" t="s">
        <v>273</v>
      </c>
      <c r="T8" s="18">
        <v>1748.0992907801419</v>
      </c>
      <c r="U8" s="18" t="s">
        <v>273</v>
      </c>
      <c r="V8" s="18">
        <v>43815.081117021276</v>
      </c>
      <c r="W8" s="18" t="s">
        <v>273</v>
      </c>
      <c r="X8" s="18">
        <v>4224.338652482269</v>
      </c>
      <c r="Y8" s="18" t="s">
        <v>273</v>
      </c>
      <c r="Z8" s="18">
        <v>8488.8014184397161</v>
      </c>
      <c r="AA8" s="18" t="s">
        <v>273</v>
      </c>
      <c r="AB8" s="18">
        <v>86.698138297872347</v>
      </c>
      <c r="AC8" s="18" t="s">
        <v>273</v>
      </c>
      <c r="AD8" s="18">
        <v>3.8257978723404253</v>
      </c>
      <c r="AE8" s="18" t="s">
        <v>273</v>
      </c>
      <c r="AF8" s="18">
        <v>3547.4397163120566</v>
      </c>
      <c r="AG8" s="18" t="s">
        <v>273</v>
      </c>
      <c r="AH8" s="18">
        <v>62373327.785461001</v>
      </c>
    </row>
    <row r="9" spans="1:34">
      <c r="A9" s="18" t="s">
        <v>274</v>
      </c>
      <c r="B9" s="18">
        <v>5.5031037669747862</v>
      </c>
      <c r="C9" s="18" t="s">
        <v>274</v>
      </c>
      <c r="D9" s="18">
        <v>5.570634758777163</v>
      </c>
      <c r="E9" s="18" t="s">
        <v>274</v>
      </c>
      <c r="F9" s="18">
        <v>12.975962016744429</v>
      </c>
      <c r="G9" s="18" t="s">
        <v>274</v>
      </c>
      <c r="H9" s="18">
        <v>1.2268049539330876</v>
      </c>
      <c r="I9" s="18" t="s">
        <v>274</v>
      </c>
      <c r="J9" s="18">
        <v>1.2532121997775905</v>
      </c>
      <c r="K9" s="18" t="s">
        <v>274</v>
      </c>
      <c r="L9" s="18">
        <v>4.9391144743169741</v>
      </c>
      <c r="M9" s="18" t="s">
        <v>274</v>
      </c>
      <c r="N9" s="18">
        <v>1.4887498943816508</v>
      </c>
      <c r="O9" s="18" t="s">
        <v>274</v>
      </c>
      <c r="P9" s="18">
        <v>1.5077643356532375</v>
      </c>
      <c r="Q9" s="18" t="s">
        <v>274</v>
      </c>
      <c r="R9" s="18">
        <v>4.1530650414147328</v>
      </c>
      <c r="S9" s="18" t="s">
        <v>274</v>
      </c>
      <c r="T9" s="18">
        <v>10.007906374922236</v>
      </c>
      <c r="U9" s="18" t="s">
        <v>274</v>
      </c>
      <c r="V9" s="18">
        <v>5.0098386327657378</v>
      </c>
      <c r="W9" s="18" t="s">
        <v>274</v>
      </c>
      <c r="X9" s="18">
        <v>18.583226663407867</v>
      </c>
      <c r="Y9" s="18" t="s">
        <v>274</v>
      </c>
      <c r="Z9" s="18">
        <v>47.20373444516963</v>
      </c>
      <c r="AA9" s="18" t="s">
        <v>274</v>
      </c>
      <c r="AB9" s="18">
        <v>24.105646252503576</v>
      </c>
      <c r="AC9" s="18" t="s">
        <v>274</v>
      </c>
      <c r="AD9" s="18">
        <v>38.204484679357456</v>
      </c>
      <c r="AE9" s="18" t="s">
        <v>274</v>
      </c>
      <c r="AF9" s="18">
        <v>27.404216430228981</v>
      </c>
      <c r="AG9" s="18" t="s">
        <v>274</v>
      </c>
      <c r="AH9" s="18">
        <v>4.6038119547977789</v>
      </c>
    </row>
    <row r="10" spans="1:34">
      <c r="A10" s="18" t="s">
        <v>275</v>
      </c>
      <c r="B10" s="18">
        <v>2.2059981425246975</v>
      </c>
      <c r="C10" s="18" t="s">
        <v>275</v>
      </c>
      <c r="D10" s="18">
        <v>2.2234024534590917</v>
      </c>
      <c r="E10" s="18" t="s">
        <v>275</v>
      </c>
      <c r="F10" s="18">
        <v>2.9974645253809382</v>
      </c>
      <c r="G10" s="18" t="s">
        <v>275</v>
      </c>
      <c r="H10" s="18">
        <v>1.3989097525429912</v>
      </c>
      <c r="I10" s="18" t="s">
        <v>275</v>
      </c>
      <c r="J10" s="18">
        <v>1.4034298867063222</v>
      </c>
      <c r="K10" s="18" t="s">
        <v>275</v>
      </c>
      <c r="L10" s="18">
        <v>2.1068423125203188</v>
      </c>
      <c r="M10" s="18" t="s">
        <v>275</v>
      </c>
      <c r="N10" s="18">
        <v>1.436787377494227</v>
      </c>
      <c r="O10" s="18" t="s">
        <v>275</v>
      </c>
      <c r="P10" s="18">
        <v>1.4395913027590561</v>
      </c>
      <c r="Q10" s="18" t="s">
        <v>275</v>
      </c>
      <c r="R10" s="18">
        <v>2.076639639530141</v>
      </c>
      <c r="S10" s="18" t="s">
        <v>275</v>
      </c>
      <c r="T10" s="18">
        <v>3.0556555951672659</v>
      </c>
      <c r="U10" s="18" t="s">
        <v>275</v>
      </c>
      <c r="V10" s="18">
        <v>2.2882408469028794</v>
      </c>
      <c r="W10" s="18" t="s">
        <v>275</v>
      </c>
      <c r="X10" s="18">
        <v>3.9710945873985861</v>
      </c>
      <c r="Y10" s="18" t="s">
        <v>275</v>
      </c>
      <c r="Z10" s="18">
        <v>6.8459765077180599</v>
      </c>
      <c r="AA10" s="18" t="s">
        <v>275</v>
      </c>
      <c r="AB10" s="18">
        <v>4.9426532616844732</v>
      </c>
      <c r="AC10" s="18" t="s">
        <v>275</v>
      </c>
      <c r="AD10" s="18">
        <v>6.0078975298913697</v>
      </c>
      <c r="AE10" s="18" t="s">
        <v>275</v>
      </c>
      <c r="AF10" s="18">
        <v>4.9139182658266174</v>
      </c>
      <c r="AG10" s="18" t="s">
        <v>275</v>
      </c>
      <c r="AH10" s="18">
        <v>2.1392214499979625</v>
      </c>
    </row>
    <row r="11" spans="1:34">
      <c r="A11" s="18" t="s">
        <v>276</v>
      </c>
      <c r="B11" s="18">
        <v>17203</v>
      </c>
      <c r="C11" s="18" t="s">
        <v>276</v>
      </c>
      <c r="D11" s="18">
        <v>17283</v>
      </c>
      <c r="E11" s="18" t="s">
        <v>276</v>
      </c>
      <c r="F11" s="18">
        <v>805</v>
      </c>
      <c r="G11" s="18" t="s">
        <v>276</v>
      </c>
      <c r="H11" s="18">
        <v>103879</v>
      </c>
      <c r="I11" s="18" t="s">
        <v>276</v>
      </c>
      <c r="J11" s="18">
        <v>103762</v>
      </c>
      <c r="K11" s="18" t="s">
        <v>276</v>
      </c>
      <c r="L11" s="18">
        <v>1165</v>
      </c>
      <c r="M11" s="18" t="s">
        <v>276</v>
      </c>
      <c r="N11" s="18">
        <v>121088</v>
      </c>
      <c r="O11" s="18" t="s">
        <v>276</v>
      </c>
      <c r="P11" s="18">
        <v>121051</v>
      </c>
      <c r="Q11" s="18" t="s">
        <v>276</v>
      </c>
      <c r="R11" s="18">
        <v>1104</v>
      </c>
      <c r="S11" s="18" t="s">
        <v>276</v>
      </c>
      <c r="T11" s="18">
        <v>206</v>
      </c>
      <c r="U11" s="18" t="s">
        <v>276</v>
      </c>
      <c r="V11" s="18">
        <v>888</v>
      </c>
      <c r="W11" s="18" t="s">
        <v>276</v>
      </c>
      <c r="X11" s="18">
        <v>376</v>
      </c>
      <c r="Y11" s="18" t="s">
        <v>276</v>
      </c>
      <c r="Z11" s="18">
        <v>639</v>
      </c>
      <c r="AA11" s="18" t="s">
        <v>276</v>
      </c>
      <c r="AB11" s="18">
        <v>53</v>
      </c>
      <c r="AC11" s="18" t="s">
        <v>276</v>
      </c>
      <c r="AD11" s="18">
        <v>13</v>
      </c>
      <c r="AE11" s="18" t="s">
        <v>276</v>
      </c>
      <c r="AF11" s="18">
        <v>371</v>
      </c>
      <c r="AG11" s="18" t="s">
        <v>276</v>
      </c>
      <c r="AH11" s="18">
        <v>33178</v>
      </c>
    </row>
    <row r="12" spans="1:34">
      <c r="A12" s="18" t="s">
        <v>277</v>
      </c>
      <c r="B12" s="18">
        <v>38</v>
      </c>
      <c r="C12" s="18" t="s">
        <v>277</v>
      </c>
      <c r="D12" s="18">
        <v>38</v>
      </c>
      <c r="E12" s="18" t="s">
        <v>277</v>
      </c>
      <c r="F12" s="18">
        <v>-206</v>
      </c>
      <c r="G12" s="18" t="s">
        <v>277</v>
      </c>
      <c r="H12" s="18">
        <v>345</v>
      </c>
      <c r="I12" s="18" t="s">
        <v>277</v>
      </c>
      <c r="J12" s="18">
        <v>345</v>
      </c>
      <c r="K12" s="18" t="s">
        <v>277</v>
      </c>
      <c r="L12" s="18">
        <v>-253</v>
      </c>
      <c r="M12" s="18" t="s">
        <v>277</v>
      </c>
      <c r="N12" s="18">
        <v>383</v>
      </c>
      <c r="O12" s="18" t="s">
        <v>277</v>
      </c>
      <c r="P12" s="18">
        <v>383</v>
      </c>
      <c r="Q12" s="18" t="s">
        <v>277</v>
      </c>
      <c r="R12" s="18">
        <v>-53</v>
      </c>
      <c r="S12" s="18" t="s">
        <v>277</v>
      </c>
      <c r="T12" s="18">
        <v>0</v>
      </c>
      <c r="U12" s="18" t="s">
        <v>277</v>
      </c>
      <c r="V12" s="18">
        <v>0</v>
      </c>
      <c r="W12" s="18" t="s">
        <v>277</v>
      </c>
      <c r="X12" s="18">
        <v>0</v>
      </c>
      <c r="Y12" s="18" t="s">
        <v>277</v>
      </c>
      <c r="Z12" s="18">
        <v>0</v>
      </c>
      <c r="AA12" s="18" t="s">
        <v>277</v>
      </c>
      <c r="AB12" s="18">
        <v>0</v>
      </c>
      <c r="AC12" s="18" t="s">
        <v>277</v>
      </c>
      <c r="AD12" s="18">
        <v>0</v>
      </c>
      <c r="AE12" s="18" t="s">
        <v>277</v>
      </c>
      <c r="AF12" s="18">
        <v>0</v>
      </c>
      <c r="AG12" s="18" t="s">
        <v>277</v>
      </c>
      <c r="AH12" s="18">
        <v>0</v>
      </c>
    </row>
    <row r="13" spans="1:34">
      <c r="A13" s="18" t="s">
        <v>278</v>
      </c>
      <c r="B13" s="18">
        <v>17241</v>
      </c>
      <c r="C13" s="18" t="s">
        <v>278</v>
      </c>
      <c r="D13" s="18">
        <v>17321</v>
      </c>
      <c r="E13" s="18" t="s">
        <v>278</v>
      </c>
      <c r="F13" s="18">
        <v>599</v>
      </c>
      <c r="G13" s="18" t="s">
        <v>278</v>
      </c>
      <c r="H13" s="18">
        <v>104224</v>
      </c>
      <c r="I13" s="18" t="s">
        <v>278</v>
      </c>
      <c r="J13" s="18">
        <v>104107</v>
      </c>
      <c r="K13" s="18" t="s">
        <v>278</v>
      </c>
      <c r="L13" s="18">
        <v>912</v>
      </c>
      <c r="M13" s="18" t="s">
        <v>278</v>
      </c>
      <c r="N13" s="18">
        <v>121471</v>
      </c>
      <c r="O13" s="18" t="s">
        <v>278</v>
      </c>
      <c r="P13" s="18">
        <v>121434</v>
      </c>
      <c r="Q13" s="18" t="s">
        <v>278</v>
      </c>
      <c r="R13" s="18">
        <v>1051</v>
      </c>
      <c r="S13" s="18" t="s">
        <v>278</v>
      </c>
      <c r="T13" s="18">
        <v>206</v>
      </c>
      <c r="U13" s="18" t="s">
        <v>278</v>
      </c>
      <c r="V13" s="18">
        <v>888</v>
      </c>
      <c r="W13" s="18" t="s">
        <v>278</v>
      </c>
      <c r="X13" s="18">
        <v>376</v>
      </c>
      <c r="Y13" s="18" t="s">
        <v>278</v>
      </c>
      <c r="Z13" s="18">
        <v>639</v>
      </c>
      <c r="AA13" s="18" t="s">
        <v>278</v>
      </c>
      <c r="AB13" s="18">
        <v>53</v>
      </c>
      <c r="AC13" s="18" t="s">
        <v>278</v>
      </c>
      <c r="AD13" s="18">
        <v>13</v>
      </c>
      <c r="AE13" s="18" t="s">
        <v>278</v>
      </c>
      <c r="AF13" s="18">
        <v>371</v>
      </c>
      <c r="AG13" s="18" t="s">
        <v>278</v>
      </c>
      <c r="AH13" s="18">
        <v>33178</v>
      </c>
    </row>
    <row r="14" spans="1:34">
      <c r="A14" s="18" t="s">
        <v>279</v>
      </c>
      <c r="B14" s="18">
        <v>158627</v>
      </c>
      <c r="C14" s="18" t="s">
        <v>279</v>
      </c>
      <c r="D14" s="18">
        <v>157670</v>
      </c>
      <c r="E14" s="18" t="s">
        <v>279</v>
      </c>
      <c r="F14" s="18">
        <v>957</v>
      </c>
      <c r="G14" s="18" t="s">
        <v>279</v>
      </c>
      <c r="H14" s="18">
        <v>1196098</v>
      </c>
      <c r="I14" s="18" t="s">
        <v>279</v>
      </c>
      <c r="J14" s="18">
        <v>1190984</v>
      </c>
      <c r="K14" s="18" t="s">
        <v>279</v>
      </c>
      <c r="L14" s="18">
        <v>5114</v>
      </c>
      <c r="M14" s="18" t="s">
        <v>279</v>
      </c>
      <c r="N14" s="18">
        <v>1354740</v>
      </c>
      <c r="O14" s="18" t="s">
        <v>279</v>
      </c>
      <c r="P14" s="18">
        <v>1348669</v>
      </c>
      <c r="Q14" s="18" t="s">
        <v>279</v>
      </c>
      <c r="R14" s="18">
        <v>6071</v>
      </c>
      <c r="S14" s="18" t="s">
        <v>279</v>
      </c>
      <c r="T14" s="18">
        <v>880</v>
      </c>
      <c r="U14" s="18" t="s">
        <v>279</v>
      </c>
      <c r="V14" s="18">
        <v>5043</v>
      </c>
      <c r="W14" s="18" t="s">
        <v>279</v>
      </c>
      <c r="X14" s="18">
        <v>1142</v>
      </c>
      <c r="Y14" s="18" t="s">
        <v>279</v>
      </c>
      <c r="Z14" s="18">
        <v>788</v>
      </c>
      <c r="AA14" s="18" t="s">
        <v>279</v>
      </c>
      <c r="AB14" s="18">
        <v>93</v>
      </c>
      <c r="AC14" s="18" t="s">
        <v>279</v>
      </c>
      <c r="AD14" s="18">
        <v>21</v>
      </c>
      <c r="AE14" s="18" t="s">
        <v>279</v>
      </c>
      <c r="AF14" s="18">
        <v>820</v>
      </c>
      <c r="AG14" s="18" t="s">
        <v>279</v>
      </c>
      <c r="AH14" s="18">
        <v>280606</v>
      </c>
    </row>
    <row r="15" spans="1:34" ht="15.75" thickBot="1">
      <c r="A15" s="19" t="s">
        <v>280</v>
      </c>
      <c r="B15" s="19">
        <v>48</v>
      </c>
      <c r="C15" s="19" t="s">
        <v>280</v>
      </c>
      <c r="D15" s="19">
        <v>48</v>
      </c>
      <c r="E15" s="19" t="s">
        <v>280</v>
      </c>
      <c r="F15" s="19">
        <v>48</v>
      </c>
      <c r="G15" s="19" t="s">
        <v>280</v>
      </c>
      <c r="H15" s="19">
        <v>48</v>
      </c>
      <c r="I15" s="19" t="s">
        <v>280</v>
      </c>
      <c r="J15" s="19">
        <v>48</v>
      </c>
      <c r="K15" s="19" t="s">
        <v>280</v>
      </c>
      <c r="L15" s="19">
        <v>48</v>
      </c>
      <c r="M15" s="19" t="s">
        <v>280</v>
      </c>
      <c r="N15" s="19">
        <v>48</v>
      </c>
      <c r="O15" s="19" t="s">
        <v>280</v>
      </c>
      <c r="P15" s="19">
        <v>48</v>
      </c>
      <c r="Q15" s="19" t="s">
        <v>280</v>
      </c>
      <c r="R15" s="19">
        <v>48</v>
      </c>
      <c r="S15" s="19" t="s">
        <v>280</v>
      </c>
      <c r="T15" s="19">
        <v>48</v>
      </c>
      <c r="U15" s="19" t="s">
        <v>280</v>
      </c>
      <c r="V15" s="19">
        <v>48</v>
      </c>
      <c r="W15" s="19" t="s">
        <v>280</v>
      </c>
      <c r="X15" s="19">
        <v>48</v>
      </c>
      <c r="Y15" s="19" t="s">
        <v>280</v>
      </c>
      <c r="Z15" s="19">
        <v>48</v>
      </c>
      <c r="AA15" s="19" t="s">
        <v>280</v>
      </c>
      <c r="AB15" s="19">
        <v>48</v>
      </c>
      <c r="AC15" s="19" t="s">
        <v>280</v>
      </c>
      <c r="AD15" s="19">
        <v>48</v>
      </c>
      <c r="AE15" s="19" t="s">
        <v>280</v>
      </c>
      <c r="AF15" s="19">
        <v>48</v>
      </c>
      <c r="AG15" s="19" t="s">
        <v>280</v>
      </c>
      <c r="AH15" s="19">
        <v>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D3DC5-E656-4D6E-8859-4D34E7AE8571}">
  <dimension ref="A1:AH15"/>
  <sheetViews>
    <sheetView topLeftCell="V1" workbookViewId="0">
      <selection activeCell="N3" sqref="N3"/>
    </sheetView>
  </sheetViews>
  <sheetFormatPr defaultRowHeight="15"/>
  <cols>
    <col min="1" max="1" width="18.140625" bestFit="1" customWidth="1"/>
    <col min="7" max="7" width="18.140625" bestFit="1" customWidth="1"/>
    <col min="13" max="13" width="20" bestFit="1" customWidth="1"/>
  </cols>
  <sheetData>
    <row r="1" spans="1:34">
      <c r="A1" s="20" t="s">
        <v>174</v>
      </c>
      <c r="B1" s="20"/>
      <c r="C1" s="20" t="s">
        <v>175</v>
      </c>
      <c r="D1" s="20"/>
      <c r="E1" s="20" t="s">
        <v>176</v>
      </c>
      <c r="F1" s="20"/>
      <c r="G1" s="20" t="s">
        <v>177</v>
      </c>
      <c r="H1" s="20"/>
      <c r="I1" s="20" t="s">
        <v>178</v>
      </c>
      <c r="J1" s="20"/>
      <c r="K1" s="20" t="s">
        <v>179</v>
      </c>
      <c r="L1" s="20"/>
      <c r="M1" s="20" t="s">
        <v>180</v>
      </c>
      <c r="N1" s="20"/>
      <c r="O1" s="20" t="s">
        <v>181</v>
      </c>
      <c r="P1" s="20"/>
      <c r="Q1" s="20" t="s">
        <v>182</v>
      </c>
      <c r="R1" s="20"/>
      <c r="S1" s="20" t="s">
        <v>183</v>
      </c>
      <c r="T1" s="20"/>
      <c r="U1" s="20" t="s">
        <v>184</v>
      </c>
      <c r="V1" s="20"/>
      <c r="W1" s="20" t="s">
        <v>185</v>
      </c>
      <c r="X1" s="20"/>
      <c r="Y1" s="20" t="s">
        <v>186</v>
      </c>
      <c r="Z1" s="20"/>
      <c r="AA1" s="20" t="s">
        <v>187</v>
      </c>
      <c r="AB1" s="20"/>
      <c r="AC1" s="20" t="s">
        <v>188</v>
      </c>
      <c r="AD1" s="20"/>
      <c r="AE1" s="20" t="s">
        <v>189</v>
      </c>
      <c r="AF1" s="20"/>
      <c r="AG1" s="20" t="s">
        <v>190</v>
      </c>
      <c r="AH1" s="20"/>
    </row>
    <row r="2" spans="1:34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</row>
    <row r="3" spans="1:34">
      <c r="A3" s="18" t="s">
        <v>268</v>
      </c>
      <c r="B3" s="18">
        <v>3301.6603773584907</v>
      </c>
      <c r="C3" s="18" t="s">
        <v>268</v>
      </c>
      <c r="D3" s="18">
        <v>3293.1698113207549</v>
      </c>
      <c r="E3" s="18" t="s">
        <v>268</v>
      </c>
      <c r="F3" s="18">
        <v>8.4905660377358494</v>
      </c>
      <c r="G3" s="18" t="s">
        <v>268</v>
      </c>
      <c r="H3" s="18">
        <v>24390.622641509435</v>
      </c>
      <c r="I3" s="18" t="s">
        <v>268</v>
      </c>
      <c r="J3" s="18">
        <v>24283.905660377357</v>
      </c>
      <c r="K3" s="18" t="s">
        <v>268</v>
      </c>
      <c r="L3" s="18">
        <v>106.71698113207547</v>
      </c>
      <c r="M3" s="18" t="s">
        <v>268</v>
      </c>
      <c r="N3" s="18">
        <v>27692.566037735851</v>
      </c>
      <c r="O3" s="18" t="s">
        <v>268</v>
      </c>
      <c r="P3" s="18">
        <v>27577.358490566039</v>
      </c>
      <c r="Q3" s="18" t="s">
        <v>268</v>
      </c>
      <c r="R3" s="18">
        <v>115.20754716981132</v>
      </c>
      <c r="S3" s="18" t="s">
        <v>268</v>
      </c>
      <c r="T3" s="18">
        <v>21</v>
      </c>
      <c r="U3" s="18" t="s">
        <v>268</v>
      </c>
      <c r="V3" s="18">
        <v>102.49056603773585</v>
      </c>
      <c r="W3" s="18" t="s">
        <v>268</v>
      </c>
      <c r="X3" s="18">
        <v>22</v>
      </c>
      <c r="Y3" s="18" t="s">
        <v>268</v>
      </c>
      <c r="Z3" s="18">
        <v>16.30188679245283</v>
      </c>
      <c r="AA3" s="18" t="s">
        <v>268</v>
      </c>
      <c r="AB3" s="18">
        <v>8.8113207547169807</v>
      </c>
      <c r="AC3" s="18" t="s">
        <v>268</v>
      </c>
      <c r="AD3" s="18">
        <v>0.47169811320754718</v>
      </c>
      <c r="AE3" s="18" t="s">
        <v>268</v>
      </c>
      <c r="AF3" s="18">
        <v>15.811320754716981</v>
      </c>
      <c r="AG3" s="18" t="s">
        <v>268</v>
      </c>
      <c r="AH3" s="18">
        <v>5698.0188679245284</v>
      </c>
    </row>
    <row r="4" spans="1:34">
      <c r="A4" s="18" t="s">
        <v>269</v>
      </c>
      <c r="B4" s="18">
        <v>506.99238875164764</v>
      </c>
      <c r="C4" s="18" t="s">
        <v>269</v>
      </c>
      <c r="D4" s="18">
        <v>508.18720818230236</v>
      </c>
      <c r="E4" s="18" t="s">
        <v>269</v>
      </c>
      <c r="F4" s="18">
        <v>18.708337799578999</v>
      </c>
      <c r="G4" s="18" t="s">
        <v>269</v>
      </c>
      <c r="H4" s="18">
        <v>3405.1914423766875</v>
      </c>
      <c r="I4" s="18" t="s">
        <v>269</v>
      </c>
      <c r="J4" s="18">
        <v>3394.6941307164293</v>
      </c>
      <c r="K4" s="18" t="s">
        <v>269</v>
      </c>
      <c r="L4" s="18">
        <v>28.433335284706711</v>
      </c>
      <c r="M4" s="18" t="s">
        <v>269</v>
      </c>
      <c r="N4" s="18">
        <v>3825.4675955695734</v>
      </c>
      <c r="O4" s="18" t="s">
        <v>269</v>
      </c>
      <c r="P4" s="18">
        <v>3816.8264030565911</v>
      </c>
      <c r="Q4" s="18" t="s">
        <v>269</v>
      </c>
      <c r="R4" s="18">
        <v>33.576984723372917</v>
      </c>
      <c r="S4" s="18" t="s">
        <v>269</v>
      </c>
      <c r="T4" s="18">
        <v>6.8471281575420742</v>
      </c>
      <c r="U4" s="18" t="s">
        <v>269</v>
      </c>
      <c r="V4" s="18">
        <v>27.840980417294226</v>
      </c>
      <c r="W4" s="18" t="s">
        <v>269</v>
      </c>
      <c r="X4" s="18">
        <v>8.5313389662660502</v>
      </c>
      <c r="Y4" s="18" t="s">
        <v>269</v>
      </c>
      <c r="Z4" s="18">
        <v>12.101427451985186</v>
      </c>
      <c r="AA4" s="18" t="s">
        <v>269</v>
      </c>
      <c r="AB4" s="18">
        <v>7.1086864320622389</v>
      </c>
      <c r="AC4" s="18" t="s">
        <v>269</v>
      </c>
      <c r="AD4" s="18">
        <v>0.2647722322436315</v>
      </c>
      <c r="AE4" s="18" t="s">
        <v>269</v>
      </c>
      <c r="AF4" s="18">
        <v>7.8023970398413347</v>
      </c>
      <c r="AG4" s="18" t="s">
        <v>269</v>
      </c>
      <c r="AH4" s="18">
        <v>1043.6504805081306</v>
      </c>
    </row>
    <row r="5" spans="1:34">
      <c r="A5" s="18" t="s">
        <v>270</v>
      </c>
      <c r="B5" s="18">
        <v>2113</v>
      </c>
      <c r="C5" s="18" t="s">
        <v>270</v>
      </c>
      <c r="D5" s="18">
        <v>2166</v>
      </c>
      <c r="E5" s="18" t="s">
        <v>270</v>
      </c>
      <c r="F5" s="18">
        <v>0</v>
      </c>
      <c r="G5" s="18" t="s">
        <v>270</v>
      </c>
      <c r="H5" s="18">
        <v>18831</v>
      </c>
      <c r="I5" s="18" t="s">
        <v>270</v>
      </c>
      <c r="J5" s="18">
        <v>18437</v>
      </c>
      <c r="K5" s="18" t="s">
        <v>270</v>
      </c>
      <c r="L5" s="18">
        <v>4</v>
      </c>
      <c r="M5" s="18" t="s">
        <v>270</v>
      </c>
      <c r="N5" s="18">
        <v>19531</v>
      </c>
      <c r="O5" s="18" t="s">
        <v>270</v>
      </c>
      <c r="P5" s="18">
        <v>19118</v>
      </c>
      <c r="Q5" s="18" t="s">
        <v>270</v>
      </c>
      <c r="R5" s="18">
        <v>0</v>
      </c>
      <c r="S5" s="18" t="s">
        <v>270</v>
      </c>
      <c r="T5" s="18">
        <v>0</v>
      </c>
      <c r="U5" s="18" t="s">
        <v>270</v>
      </c>
      <c r="V5" s="18">
        <v>0</v>
      </c>
      <c r="W5" s="18" t="s">
        <v>270</v>
      </c>
      <c r="X5" s="18">
        <v>0</v>
      </c>
      <c r="Y5" s="18" t="s">
        <v>270</v>
      </c>
      <c r="Z5" s="18">
        <v>0</v>
      </c>
      <c r="AA5" s="18" t="s">
        <v>270</v>
      </c>
      <c r="AB5" s="18">
        <v>0</v>
      </c>
      <c r="AC5" s="18" t="s">
        <v>270</v>
      </c>
      <c r="AD5" s="18">
        <v>0</v>
      </c>
      <c r="AE5" s="18" t="s">
        <v>270</v>
      </c>
      <c r="AF5" s="18">
        <v>0</v>
      </c>
      <c r="AG5" s="18" t="s">
        <v>270</v>
      </c>
      <c r="AH5" s="18">
        <v>2679</v>
      </c>
    </row>
    <row r="6" spans="1:34">
      <c r="A6" s="18" t="s">
        <v>271</v>
      </c>
      <c r="B6" s="18" t="e">
        <v>#N/A</v>
      </c>
      <c r="C6" s="18" t="s">
        <v>271</v>
      </c>
      <c r="D6" s="18" t="e">
        <v>#N/A</v>
      </c>
      <c r="E6" s="18" t="s">
        <v>271</v>
      </c>
      <c r="F6" s="18">
        <v>0</v>
      </c>
      <c r="G6" s="18" t="s">
        <v>271</v>
      </c>
      <c r="H6" s="18" t="e">
        <v>#N/A</v>
      </c>
      <c r="I6" s="18" t="s">
        <v>271</v>
      </c>
      <c r="J6" s="18" t="e">
        <v>#N/A</v>
      </c>
      <c r="K6" s="18" t="s">
        <v>271</v>
      </c>
      <c r="L6" s="18">
        <v>0</v>
      </c>
      <c r="M6" s="18" t="s">
        <v>271</v>
      </c>
      <c r="N6" s="18" t="e">
        <v>#N/A</v>
      </c>
      <c r="O6" s="18" t="s">
        <v>271</v>
      </c>
      <c r="P6" s="18" t="e">
        <v>#N/A</v>
      </c>
      <c r="Q6" s="18" t="s">
        <v>271</v>
      </c>
      <c r="R6" s="18">
        <v>0</v>
      </c>
      <c r="S6" s="18" t="s">
        <v>271</v>
      </c>
      <c r="T6" s="18">
        <v>0</v>
      </c>
      <c r="U6" s="18" t="s">
        <v>271</v>
      </c>
      <c r="V6" s="18">
        <v>0</v>
      </c>
      <c r="W6" s="18" t="s">
        <v>271</v>
      </c>
      <c r="X6" s="18">
        <v>0</v>
      </c>
      <c r="Y6" s="18" t="s">
        <v>271</v>
      </c>
      <c r="Z6" s="18">
        <v>0</v>
      </c>
      <c r="AA6" s="18" t="s">
        <v>271</v>
      </c>
      <c r="AB6" s="18">
        <v>0</v>
      </c>
      <c r="AC6" s="18" t="s">
        <v>271</v>
      </c>
      <c r="AD6" s="18">
        <v>0</v>
      </c>
      <c r="AE6" s="18" t="s">
        <v>271</v>
      </c>
      <c r="AF6" s="18">
        <v>0</v>
      </c>
      <c r="AG6" s="18" t="s">
        <v>271</v>
      </c>
      <c r="AH6" s="18" t="e">
        <v>#N/A</v>
      </c>
    </row>
    <row r="7" spans="1:34">
      <c r="A7" s="18" t="s">
        <v>272</v>
      </c>
      <c r="B7" s="18">
        <v>3690.9603031408228</v>
      </c>
      <c r="C7" s="18" t="s">
        <v>272</v>
      </c>
      <c r="D7" s="18">
        <v>3699.6587198938369</v>
      </c>
      <c r="E7" s="18" t="s">
        <v>272</v>
      </c>
      <c r="F7" s="18">
        <v>136.19875502671559</v>
      </c>
      <c r="G7" s="18" t="s">
        <v>272</v>
      </c>
      <c r="H7" s="18">
        <v>24790.167894539914</v>
      </c>
      <c r="I7" s="18" t="s">
        <v>272</v>
      </c>
      <c r="J7" s="18">
        <v>24713.746312111209</v>
      </c>
      <c r="K7" s="18" t="s">
        <v>272</v>
      </c>
      <c r="L7" s="18">
        <v>206.99780539142202</v>
      </c>
      <c r="M7" s="18" t="s">
        <v>272</v>
      </c>
      <c r="N7" s="18">
        <v>27849.824473628218</v>
      </c>
      <c r="O7" s="18" t="s">
        <v>272</v>
      </c>
      <c r="P7" s="18">
        <v>27786.915642559277</v>
      </c>
      <c r="Q7" s="18" t="s">
        <v>272</v>
      </c>
      <c r="R7" s="18">
        <v>244.44413853684807</v>
      </c>
      <c r="S7" s="18" t="s">
        <v>272</v>
      </c>
      <c r="T7" s="18">
        <v>49.84784541289315</v>
      </c>
      <c r="U7" s="18" t="s">
        <v>272</v>
      </c>
      <c r="V7" s="18">
        <v>202.68539686320895</v>
      </c>
      <c r="W7" s="18" t="s">
        <v>272</v>
      </c>
      <c r="X7" s="18">
        <v>62.109085177117699</v>
      </c>
      <c r="Y7" s="18" t="s">
        <v>272</v>
      </c>
      <c r="Z7" s="18">
        <v>88.099721667608094</v>
      </c>
      <c r="AA7" s="18" t="s">
        <v>272</v>
      </c>
      <c r="AB7" s="18">
        <v>51.752018393850548</v>
      </c>
      <c r="AC7" s="18" t="s">
        <v>272</v>
      </c>
      <c r="AD7" s="18">
        <v>1.9275709463637396</v>
      </c>
      <c r="AE7" s="18" t="s">
        <v>272</v>
      </c>
      <c r="AF7" s="18">
        <v>56.802307849841938</v>
      </c>
      <c r="AG7" s="18" t="s">
        <v>272</v>
      </c>
      <c r="AH7" s="18">
        <v>7597.8901840996068</v>
      </c>
    </row>
    <row r="8" spans="1:34">
      <c r="A8" s="18" t="s">
        <v>273</v>
      </c>
      <c r="B8" s="18">
        <v>13623187.959361393</v>
      </c>
      <c r="C8" s="18" t="s">
        <v>273</v>
      </c>
      <c r="D8" s="18">
        <v>13687474.643686503</v>
      </c>
      <c r="E8" s="18" t="s">
        <v>273</v>
      </c>
      <c r="F8" s="18">
        <v>18550.100870827286</v>
      </c>
      <c r="G8" s="18" t="s">
        <v>273</v>
      </c>
      <c r="H8" s="18">
        <v>614552424.23947752</v>
      </c>
      <c r="I8" s="18" t="s">
        <v>273</v>
      </c>
      <c r="J8" s="18">
        <v>610769256.77939045</v>
      </c>
      <c r="K8" s="18" t="s">
        <v>273</v>
      </c>
      <c r="L8" s="18">
        <v>42848.091436865026</v>
      </c>
      <c r="M8" s="18" t="s">
        <v>273</v>
      </c>
      <c r="N8" s="18">
        <v>775612723.21190131</v>
      </c>
      <c r="O8" s="18" t="s">
        <v>273</v>
      </c>
      <c r="P8" s="18">
        <v>772112680.92670548</v>
      </c>
      <c r="Q8" s="18" t="s">
        <v>273</v>
      </c>
      <c r="R8" s="18">
        <v>59752.936865021773</v>
      </c>
      <c r="S8" s="18" t="s">
        <v>273</v>
      </c>
      <c r="T8" s="18">
        <v>2484.8076923076924</v>
      </c>
      <c r="U8" s="18" t="s">
        <v>273</v>
      </c>
      <c r="V8" s="18">
        <v>41081.370101596513</v>
      </c>
      <c r="W8" s="18" t="s">
        <v>273</v>
      </c>
      <c r="X8" s="18">
        <v>3857.5384615384614</v>
      </c>
      <c r="Y8" s="18" t="s">
        <v>273</v>
      </c>
      <c r="Z8" s="18">
        <v>7761.5609579100146</v>
      </c>
      <c r="AA8" s="18" t="s">
        <v>273</v>
      </c>
      <c r="AB8" s="18">
        <v>2678.2714078374456</v>
      </c>
      <c r="AC8" s="18" t="s">
        <v>273</v>
      </c>
      <c r="AD8" s="18">
        <v>3.7155297532656024</v>
      </c>
      <c r="AE8" s="18" t="s">
        <v>273</v>
      </c>
      <c r="AF8" s="18">
        <v>3226.5021770682147</v>
      </c>
      <c r="AG8" s="18" t="s">
        <v>273</v>
      </c>
      <c r="AH8" s="18">
        <v>57727935.249637157</v>
      </c>
    </row>
    <row r="9" spans="1:34">
      <c r="A9" s="18" t="s">
        <v>274</v>
      </c>
      <c r="B9" s="18">
        <v>5.2901462655325489</v>
      </c>
      <c r="C9" s="18" t="s">
        <v>274</v>
      </c>
      <c r="D9" s="18">
        <v>5.2311750323600439</v>
      </c>
      <c r="E9" s="18" t="s">
        <v>274</v>
      </c>
      <c r="F9" s="18">
        <v>11.259385669015741</v>
      </c>
      <c r="G9" s="18" t="s">
        <v>274</v>
      </c>
      <c r="H9" s="18">
        <v>1.5342949200373268</v>
      </c>
      <c r="I9" s="18" t="s">
        <v>274</v>
      </c>
      <c r="J9" s="18">
        <v>1.5625126996073813</v>
      </c>
      <c r="K9" s="18" t="s">
        <v>274</v>
      </c>
      <c r="L9" s="18">
        <v>5.1688877086231191</v>
      </c>
      <c r="M9" s="18" t="s">
        <v>274</v>
      </c>
      <c r="N9" s="18">
        <v>1.7680416123236005</v>
      </c>
      <c r="O9" s="18" t="s">
        <v>274</v>
      </c>
      <c r="P9" s="18">
        <v>1.7813544263671584</v>
      </c>
      <c r="Q9" s="18" t="s">
        <v>274</v>
      </c>
      <c r="R9" s="18">
        <v>4.0224983841044164</v>
      </c>
      <c r="S9" s="18" t="s">
        <v>274</v>
      </c>
      <c r="T9" s="18">
        <v>9.3569436028188626</v>
      </c>
      <c r="U9" s="18" t="s">
        <v>274</v>
      </c>
      <c r="V9" s="18">
        <v>5.313790836964559</v>
      </c>
      <c r="W9" s="18" t="s">
        <v>274</v>
      </c>
      <c r="X9" s="18">
        <v>20.660267003445377</v>
      </c>
      <c r="Y9" s="18" t="s">
        <v>274</v>
      </c>
      <c r="Z9" s="18">
        <v>50.693457158660557</v>
      </c>
      <c r="AA9" s="18" t="s">
        <v>274</v>
      </c>
      <c r="AB9" s="18">
        <v>49.76590236554874</v>
      </c>
      <c r="AC9" s="18" t="s">
        <v>274</v>
      </c>
      <c r="AD9" s="18">
        <v>35.824553614717402</v>
      </c>
      <c r="AE9" s="18" t="s">
        <v>274</v>
      </c>
      <c r="AF9" s="18">
        <v>30.347233056650076</v>
      </c>
      <c r="AG9" s="18" t="s">
        <v>274</v>
      </c>
      <c r="AH9" s="18">
        <v>5.1490808318076446</v>
      </c>
    </row>
    <row r="10" spans="1:34">
      <c r="A10" s="18" t="s">
        <v>275</v>
      </c>
      <c r="B10" s="18">
        <v>2.1303433581426754</v>
      </c>
      <c r="C10" s="18" t="s">
        <v>275</v>
      </c>
      <c r="D10" s="18">
        <v>2.1299712341160157</v>
      </c>
      <c r="E10" s="18" t="s">
        <v>275</v>
      </c>
      <c r="F10" s="18">
        <v>0.75607575439378305</v>
      </c>
      <c r="G10" s="18" t="s">
        <v>275</v>
      </c>
      <c r="H10" s="18">
        <v>1.4541057273127842</v>
      </c>
      <c r="I10" s="18" t="s">
        <v>275</v>
      </c>
      <c r="J10" s="18">
        <v>1.4589723676818953</v>
      </c>
      <c r="K10" s="18" t="s">
        <v>275</v>
      </c>
      <c r="L10" s="18">
        <v>2.1139649190826511</v>
      </c>
      <c r="M10" s="18" t="s">
        <v>275</v>
      </c>
      <c r="N10" s="18">
        <v>1.4813917971260755</v>
      </c>
      <c r="O10" s="18" t="s">
        <v>275</v>
      </c>
      <c r="P10" s="18">
        <v>1.4828296571546293</v>
      </c>
      <c r="Q10" s="18" t="s">
        <v>275</v>
      </c>
      <c r="R10" s="18">
        <v>1.8386641861271777</v>
      </c>
      <c r="S10" s="18" t="s">
        <v>275</v>
      </c>
      <c r="T10" s="18">
        <v>3.0482148338478026</v>
      </c>
      <c r="U10" s="18" t="s">
        <v>275</v>
      </c>
      <c r="V10" s="18">
        <v>2.3230832598491742</v>
      </c>
      <c r="W10" s="18" t="s">
        <v>275</v>
      </c>
      <c r="X10" s="18">
        <v>4.181978046649057</v>
      </c>
      <c r="Y10" s="18" t="s">
        <v>275</v>
      </c>
      <c r="Z10" s="18">
        <v>7.0582505085374745</v>
      </c>
      <c r="AA10" s="18" t="s">
        <v>275</v>
      </c>
      <c r="AB10" s="18">
        <v>6.9758424586208365</v>
      </c>
      <c r="AC10" s="18" t="s">
        <v>275</v>
      </c>
      <c r="AD10" s="18">
        <v>5.7204682798749689</v>
      </c>
      <c r="AE10" s="18" t="s">
        <v>275</v>
      </c>
      <c r="AF10" s="18">
        <v>5.1671457112726262</v>
      </c>
      <c r="AG10" s="18" t="s">
        <v>275</v>
      </c>
      <c r="AH10" s="18">
        <v>2.2150401217202793</v>
      </c>
    </row>
    <row r="11" spans="1:34">
      <c r="A11" s="18" t="s">
        <v>276</v>
      </c>
      <c r="B11" s="18">
        <v>17203</v>
      </c>
      <c r="C11" s="18" t="s">
        <v>276</v>
      </c>
      <c r="D11" s="18">
        <v>17283</v>
      </c>
      <c r="E11" s="18" t="s">
        <v>276</v>
      </c>
      <c r="F11" s="18">
        <v>1129</v>
      </c>
      <c r="G11" s="18" t="s">
        <v>276</v>
      </c>
      <c r="H11" s="18">
        <v>103879</v>
      </c>
      <c r="I11" s="18" t="s">
        <v>276</v>
      </c>
      <c r="J11" s="18">
        <v>103762</v>
      </c>
      <c r="K11" s="18" t="s">
        <v>276</v>
      </c>
      <c r="L11" s="18">
        <v>1165</v>
      </c>
      <c r="M11" s="18" t="s">
        <v>276</v>
      </c>
      <c r="N11" s="18">
        <v>121088</v>
      </c>
      <c r="O11" s="18" t="s">
        <v>276</v>
      </c>
      <c r="P11" s="18">
        <v>121051</v>
      </c>
      <c r="Q11" s="18" t="s">
        <v>276</v>
      </c>
      <c r="R11" s="18">
        <v>1417</v>
      </c>
      <c r="S11" s="18" t="s">
        <v>276</v>
      </c>
      <c r="T11" s="18">
        <v>233</v>
      </c>
      <c r="U11" s="18" t="s">
        <v>276</v>
      </c>
      <c r="V11" s="18">
        <v>888</v>
      </c>
      <c r="W11" s="18" t="s">
        <v>276</v>
      </c>
      <c r="X11" s="18">
        <v>376</v>
      </c>
      <c r="Y11" s="18" t="s">
        <v>276</v>
      </c>
      <c r="Z11" s="18">
        <v>639</v>
      </c>
      <c r="AA11" s="18" t="s">
        <v>276</v>
      </c>
      <c r="AB11" s="18">
        <v>373</v>
      </c>
      <c r="AC11" s="18" t="s">
        <v>276</v>
      </c>
      <c r="AD11" s="18">
        <v>13</v>
      </c>
      <c r="AE11" s="18" t="s">
        <v>276</v>
      </c>
      <c r="AF11" s="18">
        <v>371</v>
      </c>
      <c r="AG11" s="18" t="s">
        <v>276</v>
      </c>
      <c r="AH11" s="18">
        <v>33178</v>
      </c>
    </row>
    <row r="12" spans="1:34">
      <c r="A12" s="18" t="s">
        <v>277</v>
      </c>
      <c r="B12" s="18">
        <v>38</v>
      </c>
      <c r="C12" s="18" t="s">
        <v>277</v>
      </c>
      <c r="D12" s="18">
        <v>38</v>
      </c>
      <c r="E12" s="18" t="s">
        <v>277</v>
      </c>
      <c r="F12" s="18">
        <v>-530</v>
      </c>
      <c r="G12" s="18" t="s">
        <v>277</v>
      </c>
      <c r="H12" s="18">
        <v>345</v>
      </c>
      <c r="I12" s="18" t="s">
        <v>277</v>
      </c>
      <c r="J12" s="18">
        <v>345</v>
      </c>
      <c r="K12" s="18" t="s">
        <v>277</v>
      </c>
      <c r="L12" s="18">
        <v>-253</v>
      </c>
      <c r="M12" s="18" t="s">
        <v>277</v>
      </c>
      <c r="N12" s="18">
        <v>383</v>
      </c>
      <c r="O12" s="18" t="s">
        <v>277</v>
      </c>
      <c r="P12" s="18">
        <v>383</v>
      </c>
      <c r="Q12" s="18" t="s">
        <v>277</v>
      </c>
      <c r="R12" s="18">
        <v>-366</v>
      </c>
      <c r="S12" s="18" t="s">
        <v>277</v>
      </c>
      <c r="T12" s="18">
        <v>0</v>
      </c>
      <c r="U12" s="18" t="s">
        <v>277</v>
      </c>
      <c r="V12" s="18">
        <v>0</v>
      </c>
      <c r="W12" s="18" t="s">
        <v>277</v>
      </c>
      <c r="X12" s="18">
        <v>0</v>
      </c>
      <c r="Y12" s="18" t="s">
        <v>277</v>
      </c>
      <c r="Z12" s="18">
        <v>0</v>
      </c>
      <c r="AA12" s="18" t="s">
        <v>277</v>
      </c>
      <c r="AB12" s="18">
        <v>0</v>
      </c>
      <c r="AC12" s="18" t="s">
        <v>277</v>
      </c>
      <c r="AD12" s="18">
        <v>0</v>
      </c>
      <c r="AE12" s="18" t="s">
        <v>277</v>
      </c>
      <c r="AF12" s="18">
        <v>0</v>
      </c>
      <c r="AG12" s="18" t="s">
        <v>277</v>
      </c>
      <c r="AH12" s="18">
        <v>0</v>
      </c>
    </row>
    <row r="13" spans="1:34">
      <c r="A13" s="18" t="s">
        <v>278</v>
      </c>
      <c r="B13" s="18">
        <v>17241</v>
      </c>
      <c r="C13" s="18" t="s">
        <v>278</v>
      </c>
      <c r="D13" s="18">
        <v>17321</v>
      </c>
      <c r="E13" s="18" t="s">
        <v>278</v>
      </c>
      <c r="F13" s="18">
        <v>599</v>
      </c>
      <c r="G13" s="18" t="s">
        <v>278</v>
      </c>
      <c r="H13" s="18">
        <v>104224</v>
      </c>
      <c r="I13" s="18" t="s">
        <v>278</v>
      </c>
      <c r="J13" s="18">
        <v>104107</v>
      </c>
      <c r="K13" s="18" t="s">
        <v>278</v>
      </c>
      <c r="L13" s="18">
        <v>912</v>
      </c>
      <c r="M13" s="18" t="s">
        <v>278</v>
      </c>
      <c r="N13" s="18">
        <v>121471</v>
      </c>
      <c r="O13" s="18" t="s">
        <v>278</v>
      </c>
      <c r="P13" s="18">
        <v>121434</v>
      </c>
      <c r="Q13" s="18" t="s">
        <v>278</v>
      </c>
      <c r="R13" s="18">
        <v>1051</v>
      </c>
      <c r="S13" s="18" t="s">
        <v>278</v>
      </c>
      <c r="T13" s="18">
        <v>233</v>
      </c>
      <c r="U13" s="18" t="s">
        <v>278</v>
      </c>
      <c r="V13" s="18">
        <v>888</v>
      </c>
      <c r="W13" s="18" t="s">
        <v>278</v>
      </c>
      <c r="X13" s="18">
        <v>376</v>
      </c>
      <c r="Y13" s="18" t="s">
        <v>278</v>
      </c>
      <c r="Z13" s="18">
        <v>639</v>
      </c>
      <c r="AA13" s="18" t="s">
        <v>278</v>
      </c>
      <c r="AB13" s="18">
        <v>373</v>
      </c>
      <c r="AC13" s="18" t="s">
        <v>278</v>
      </c>
      <c r="AD13" s="18">
        <v>13</v>
      </c>
      <c r="AE13" s="18" t="s">
        <v>278</v>
      </c>
      <c r="AF13" s="18">
        <v>371</v>
      </c>
      <c r="AG13" s="18" t="s">
        <v>278</v>
      </c>
      <c r="AH13" s="18">
        <v>33178</v>
      </c>
    </row>
    <row r="14" spans="1:34">
      <c r="A14" s="18" t="s">
        <v>279</v>
      </c>
      <c r="B14" s="18">
        <v>174988</v>
      </c>
      <c r="C14" s="18" t="s">
        <v>279</v>
      </c>
      <c r="D14" s="18">
        <v>174538</v>
      </c>
      <c r="E14" s="18" t="s">
        <v>279</v>
      </c>
      <c r="F14" s="18">
        <v>450</v>
      </c>
      <c r="G14" s="18" t="s">
        <v>279</v>
      </c>
      <c r="H14" s="18">
        <v>1292703</v>
      </c>
      <c r="I14" s="18" t="s">
        <v>279</v>
      </c>
      <c r="J14" s="18">
        <v>1287047</v>
      </c>
      <c r="K14" s="18" t="s">
        <v>279</v>
      </c>
      <c r="L14" s="18">
        <v>5656</v>
      </c>
      <c r="M14" s="18" t="s">
        <v>279</v>
      </c>
      <c r="N14" s="18">
        <v>1467706</v>
      </c>
      <c r="O14" s="18" t="s">
        <v>279</v>
      </c>
      <c r="P14" s="18">
        <v>1461600</v>
      </c>
      <c r="Q14" s="18" t="s">
        <v>279</v>
      </c>
      <c r="R14" s="18">
        <v>6106</v>
      </c>
      <c r="S14" s="18" t="s">
        <v>279</v>
      </c>
      <c r="T14" s="18">
        <v>1113</v>
      </c>
      <c r="U14" s="18" t="s">
        <v>279</v>
      </c>
      <c r="V14" s="18">
        <v>5432</v>
      </c>
      <c r="W14" s="18" t="s">
        <v>279</v>
      </c>
      <c r="X14" s="18">
        <v>1166</v>
      </c>
      <c r="Y14" s="18" t="s">
        <v>279</v>
      </c>
      <c r="Z14" s="18">
        <v>864</v>
      </c>
      <c r="AA14" s="18" t="s">
        <v>279</v>
      </c>
      <c r="AB14" s="18">
        <v>467</v>
      </c>
      <c r="AC14" s="18" t="s">
        <v>279</v>
      </c>
      <c r="AD14" s="18">
        <v>25</v>
      </c>
      <c r="AE14" s="18" t="s">
        <v>279</v>
      </c>
      <c r="AF14" s="18">
        <v>838</v>
      </c>
      <c r="AG14" s="18" t="s">
        <v>279</v>
      </c>
      <c r="AH14" s="18">
        <v>301995</v>
      </c>
    </row>
    <row r="15" spans="1:34" ht="15.75" thickBot="1">
      <c r="A15" s="19" t="s">
        <v>280</v>
      </c>
      <c r="B15" s="19">
        <v>53</v>
      </c>
      <c r="C15" s="19" t="s">
        <v>280</v>
      </c>
      <c r="D15" s="19">
        <v>53</v>
      </c>
      <c r="E15" s="19" t="s">
        <v>280</v>
      </c>
      <c r="F15" s="19">
        <v>53</v>
      </c>
      <c r="G15" s="19" t="s">
        <v>280</v>
      </c>
      <c r="H15" s="19">
        <v>53</v>
      </c>
      <c r="I15" s="19" t="s">
        <v>280</v>
      </c>
      <c r="J15" s="19">
        <v>53</v>
      </c>
      <c r="K15" s="19" t="s">
        <v>280</v>
      </c>
      <c r="L15" s="19">
        <v>53</v>
      </c>
      <c r="M15" s="19" t="s">
        <v>280</v>
      </c>
      <c r="N15" s="19">
        <v>53</v>
      </c>
      <c r="O15" s="19" t="s">
        <v>280</v>
      </c>
      <c r="P15" s="19">
        <v>53</v>
      </c>
      <c r="Q15" s="19" t="s">
        <v>280</v>
      </c>
      <c r="R15" s="19">
        <v>53</v>
      </c>
      <c r="S15" s="19" t="s">
        <v>280</v>
      </c>
      <c r="T15" s="19">
        <v>53</v>
      </c>
      <c r="U15" s="19" t="s">
        <v>280</v>
      </c>
      <c r="V15" s="19">
        <v>53</v>
      </c>
      <c r="W15" s="19" t="s">
        <v>280</v>
      </c>
      <c r="X15" s="19">
        <v>53</v>
      </c>
      <c r="Y15" s="19" t="s">
        <v>280</v>
      </c>
      <c r="Z15" s="19">
        <v>53</v>
      </c>
      <c r="AA15" s="19" t="s">
        <v>280</v>
      </c>
      <c r="AB15" s="19">
        <v>53</v>
      </c>
      <c r="AC15" s="19" t="s">
        <v>280</v>
      </c>
      <c r="AD15" s="19">
        <v>53</v>
      </c>
      <c r="AE15" s="19" t="s">
        <v>280</v>
      </c>
      <c r="AF15" s="19">
        <v>53</v>
      </c>
      <c r="AG15" s="19" t="s">
        <v>280</v>
      </c>
      <c r="AH15" s="19">
        <v>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2128A-B984-496A-AD9F-649F1266B3A7}">
  <dimension ref="A1:AH15"/>
  <sheetViews>
    <sheetView workbookViewId="0">
      <selection activeCell="M1" sqref="M1"/>
    </sheetView>
  </sheetViews>
  <sheetFormatPr defaultRowHeight="15"/>
  <cols>
    <col min="1" max="1" width="18.140625" bestFit="1" customWidth="1"/>
    <col min="3" max="3" width="18.140625" bestFit="1" customWidth="1"/>
    <col min="5" max="5" width="18.140625" bestFit="1" customWidth="1"/>
    <col min="7" max="7" width="18.140625" bestFit="1" customWidth="1"/>
    <col min="9" max="9" width="18.140625" bestFit="1" customWidth="1"/>
    <col min="11" max="11" width="18.140625" bestFit="1" customWidth="1"/>
    <col min="13" max="13" width="20" bestFit="1" customWidth="1"/>
    <col min="15" max="15" width="20.140625" bestFit="1" customWidth="1"/>
    <col min="17" max="17" width="18.140625" bestFit="1" customWidth="1"/>
    <col min="19" max="19" width="18.140625" bestFit="1" customWidth="1"/>
    <col min="21" max="21" width="18.140625" bestFit="1" customWidth="1"/>
    <col min="23" max="23" width="18.140625" bestFit="1" customWidth="1"/>
    <col min="25" max="25" width="18.140625" bestFit="1" customWidth="1"/>
    <col min="27" max="27" width="18.140625" bestFit="1" customWidth="1"/>
    <col min="29" max="29" width="18.140625" bestFit="1" customWidth="1"/>
    <col min="31" max="31" width="18.140625" bestFit="1" customWidth="1"/>
    <col min="33" max="33" width="18.5703125" bestFit="1" customWidth="1"/>
  </cols>
  <sheetData>
    <row r="1" spans="1:34">
      <c r="A1" s="20" t="s">
        <v>174</v>
      </c>
      <c r="B1" s="20"/>
      <c r="C1" s="20" t="s">
        <v>175</v>
      </c>
      <c r="D1" s="20"/>
      <c r="E1" s="20" t="s">
        <v>176</v>
      </c>
      <c r="F1" s="20"/>
      <c r="G1" s="20" t="s">
        <v>177</v>
      </c>
      <c r="H1" s="20"/>
      <c r="I1" s="20" t="s">
        <v>178</v>
      </c>
      <c r="J1" s="20"/>
      <c r="K1" s="20" t="s">
        <v>179</v>
      </c>
      <c r="L1" s="20"/>
      <c r="M1" s="20" t="s">
        <v>180</v>
      </c>
      <c r="N1" s="20"/>
      <c r="O1" s="20" t="s">
        <v>181</v>
      </c>
      <c r="P1" s="20"/>
      <c r="Q1" s="20" t="s">
        <v>182</v>
      </c>
      <c r="R1" s="20"/>
      <c r="S1" s="20" t="s">
        <v>183</v>
      </c>
      <c r="T1" s="20"/>
      <c r="U1" s="20" t="s">
        <v>184</v>
      </c>
      <c r="V1" s="20"/>
      <c r="W1" s="20" t="s">
        <v>185</v>
      </c>
      <c r="X1" s="20"/>
      <c r="Y1" s="20" t="s">
        <v>186</v>
      </c>
      <c r="Z1" s="20"/>
      <c r="AA1" s="20" t="s">
        <v>187</v>
      </c>
      <c r="AB1" s="20"/>
      <c r="AC1" s="20" t="s">
        <v>188</v>
      </c>
      <c r="AD1" s="20"/>
      <c r="AE1" s="20" t="s">
        <v>189</v>
      </c>
      <c r="AF1" s="20"/>
      <c r="AG1" s="20" t="s">
        <v>190</v>
      </c>
      <c r="AH1" s="20"/>
    </row>
    <row r="2" spans="1:34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</row>
    <row r="3" spans="1:34">
      <c r="A3" s="18" t="s">
        <v>268</v>
      </c>
      <c r="B3" s="18">
        <v>3234.5862068965516</v>
      </c>
      <c r="C3" s="18" t="s">
        <v>268</v>
      </c>
      <c r="D3" s="18">
        <v>3225.3275862068967</v>
      </c>
      <c r="E3" s="18" t="s">
        <v>268</v>
      </c>
      <c r="F3" s="18">
        <v>9.2586206896551726</v>
      </c>
      <c r="G3" s="18" t="s">
        <v>268</v>
      </c>
      <c r="H3" s="18">
        <v>23732.431034482757</v>
      </c>
      <c r="I3" s="18" t="s">
        <v>268</v>
      </c>
      <c r="J3" s="18">
        <v>23628.241379310344</v>
      </c>
      <c r="K3" s="18" t="s">
        <v>268</v>
      </c>
      <c r="L3" s="18">
        <v>104.18965517241379</v>
      </c>
      <c r="M3" s="18" t="s">
        <v>268</v>
      </c>
      <c r="N3" s="18">
        <v>26967.275862068964</v>
      </c>
      <c r="O3" s="18" t="s">
        <v>268</v>
      </c>
      <c r="P3" s="18">
        <v>26853.827586206895</v>
      </c>
      <c r="Q3" s="18" t="s">
        <v>268</v>
      </c>
      <c r="R3" s="18">
        <v>113.44827586206897</v>
      </c>
      <c r="S3" s="18" t="s">
        <v>268</v>
      </c>
      <c r="T3" s="18">
        <v>19.448275862068964</v>
      </c>
      <c r="U3" s="18" t="s">
        <v>268</v>
      </c>
      <c r="V3" s="18">
        <v>101.17241379310344</v>
      </c>
      <c r="W3" s="18" t="s">
        <v>268</v>
      </c>
      <c r="X3" s="18">
        <v>20.758620689655171</v>
      </c>
      <c r="Y3" s="18" t="s">
        <v>268</v>
      </c>
      <c r="Z3" s="18">
        <v>16</v>
      </c>
      <c r="AA3" s="18" t="s">
        <v>268</v>
      </c>
      <c r="AB3" s="18">
        <v>8.0517241379310338</v>
      </c>
      <c r="AC3" s="18" t="s">
        <v>268</v>
      </c>
      <c r="AD3" s="18">
        <v>0.43103448275862066</v>
      </c>
      <c r="AE3" s="18" t="s">
        <v>268</v>
      </c>
      <c r="AF3" s="18">
        <v>14.448275862068966</v>
      </c>
      <c r="AG3" s="18" t="s">
        <v>268</v>
      </c>
      <c r="AH3" s="18">
        <v>5456.2413793103451</v>
      </c>
    </row>
    <row r="4" spans="1:34">
      <c r="A4" s="18" t="s">
        <v>269</v>
      </c>
      <c r="B4" s="18">
        <v>468.76025242071864</v>
      </c>
      <c r="C4" s="18" t="s">
        <v>269</v>
      </c>
      <c r="D4" s="18">
        <v>469.7802664249333</v>
      </c>
      <c r="E4" s="18" t="s">
        <v>269</v>
      </c>
      <c r="F4" s="18">
        <v>17.105249799009837</v>
      </c>
      <c r="G4" s="18" t="s">
        <v>269</v>
      </c>
      <c r="H4" s="18">
        <v>3144.8536529631065</v>
      </c>
      <c r="I4" s="18" t="s">
        <v>269</v>
      </c>
      <c r="J4" s="18">
        <v>3135.0127089061748</v>
      </c>
      <c r="K4" s="18" t="s">
        <v>269</v>
      </c>
      <c r="L4" s="18">
        <v>26.913030787941949</v>
      </c>
      <c r="M4" s="18" t="s">
        <v>269</v>
      </c>
      <c r="N4" s="18">
        <v>3534.8558970375288</v>
      </c>
      <c r="O4" s="18" t="s">
        <v>269</v>
      </c>
      <c r="P4" s="18">
        <v>3526.6282426318958</v>
      </c>
      <c r="Q4" s="18" t="s">
        <v>269</v>
      </c>
      <c r="R4" s="18">
        <v>31.540390494653497</v>
      </c>
      <c r="S4" s="18" t="s">
        <v>269</v>
      </c>
      <c r="T4" s="18">
        <v>6.2899863000683274</v>
      </c>
      <c r="U4" s="18" t="s">
        <v>269</v>
      </c>
      <c r="V4" s="18">
        <v>26.315229649634968</v>
      </c>
      <c r="W4" s="18" t="s">
        <v>269</v>
      </c>
      <c r="X4" s="18">
        <v>7.8301428808598974</v>
      </c>
      <c r="Y4" s="18" t="s">
        <v>269</v>
      </c>
      <c r="Z4" s="18">
        <v>11.077246234964276</v>
      </c>
      <c r="AA4" s="18" t="s">
        <v>269</v>
      </c>
      <c r="AB4" s="18">
        <v>6.4987514466450458</v>
      </c>
      <c r="AC4" s="18" t="s">
        <v>269</v>
      </c>
      <c r="AD4" s="18">
        <v>0.24238189503393257</v>
      </c>
      <c r="AE4" s="18" t="s">
        <v>269</v>
      </c>
      <c r="AF4" s="18">
        <v>7.1480824792346498</v>
      </c>
      <c r="AG4" s="18" t="s">
        <v>269</v>
      </c>
      <c r="AH4" s="18">
        <v>962.75058013931471</v>
      </c>
    </row>
    <row r="5" spans="1:34">
      <c r="A5" s="18" t="s">
        <v>270</v>
      </c>
      <c r="B5" s="18">
        <v>2196.5</v>
      </c>
      <c r="C5" s="18" t="s">
        <v>270</v>
      </c>
      <c r="D5" s="18">
        <v>2223</v>
      </c>
      <c r="E5" s="18" t="s">
        <v>270</v>
      </c>
      <c r="F5" s="18">
        <v>0</v>
      </c>
      <c r="G5" s="18" t="s">
        <v>270</v>
      </c>
      <c r="H5" s="18">
        <v>18840.5</v>
      </c>
      <c r="I5" s="18" t="s">
        <v>270</v>
      </c>
      <c r="J5" s="18">
        <v>18510</v>
      </c>
      <c r="K5" s="18" t="s">
        <v>270</v>
      </c>
      <c r="L5" s="18">
        <v>1.5</v>
      </c>
      <c r="M5" s="18" t="s">
        <v>270</v>
      </c>
      <c r="N5" s="18">
        <v>19691.5</v>
      </c>
      <c r="O5" s="18" t="s">
        <v>270</v>
      </c>
      <c r="P5" s="18">
        <v>19485</v>
      </c>
      <c r="Q5" s="18" t="s">
        <v>270</v>
      </c>
      <c r="R5" s="18">
        <v>0</v>
      </c>
      <c r="S5" s="18" t="s">
        <v>270</v>
      </c>
      <c r="T5" s="18">
        <v>0</v>
      </c>
      <c r="U5" s="18" t="s">
        <v>270</v>
      </c>
      <c r="V5" s="18">
        <v>0</v>
      </c>
      <c r="W5" s="18" t="s">
        <v>270</v>
      </c>
      <c r="X5" s="18">
        <v>0</v>
      </c>
      <c r="Y5" s="18" t="s">
        <v>270</v>
      </c>
      <c r="Z5" s="18">
        <v>0</v>
      </c>
      <c r="AA5" s="18" t="s">
        <v>270</v>
      </c>
      <c r="AB5" s="18">
        <v>0</v>
      </c>
      <c r="AC5" s="18" t="s">
        <v>270</v>
      </c>
      <c r="AD5" s="18">
        <v>0</v>
      </c>
      <c r="AE5" s="18" t="s">
        <v>270</v>
      </c>
      <c r="AF5" s="18">
        <v>0</v>
      </c>
      <c r="AG5" s="18" t="s">
        <v>270</v>
      </c>
      <c r="AH5" s="18">
        <v>2829</v>
      </c>
    </row>
    <row r="6" spans="1:34">
      <c r="A6" s="18" t="s">
        <v>271</v>
      </c>
      <c r="B6" s="18" t="e">
        <v>#N/A</v>
      </c>
      <c r="C6" s="18" t="s">
        <v>271</v>
      </c>
      <c r="D6" s="18" t="e">
        <v>#N/A</v>
      </c>
      <c r="E6" s="18" t="s">
        <v>271</v>
      </c>
      <c r="F6" s="18">
        <v>0</v>
      </c>
      <c r="G6" s="18" t="s">
        <v>271</v>
      </c>
      <c r="H6" s="18" t="e">
        <v>#N/A</v>
      </c>
      <c r="I6" s="18" t="s">
        <v>271</v>
      </c>
      <c r="J6" s="18" t="e">
        <v>#N/A</v>
      </c>
      <c r="K6" s="18" t="s">
        <v>271</v>
      </c>
      <c r="L6" s="18">
        <v>0</v>
      </c>
      <c r="M6" s="18" t="s">
        <v>271</v>
      </c>
      <c r="N6" s="18" t="e">
        <v>#N/A</v>
      </c>
      <c r="O6" s="18" t="s">
        <v>271</v>
      </c>
      <c r="P6" s="18" t="e">
        <v>#N/A</v>
      </c>
      <c r="Q6" s="18" t="s">
        <v>271</v>
      </c>
      <c r="R6" s="18">
        <v>0</v>
      </c>
      <c r="S6" s="18" t="s">
        <v>271</v>
      </c>
      <c r="T6" s="18">
        <v>0</v>
      </c>
      <c r="U6" s="18" t="s">
        <v>271</v>
      </c>
      <c r="V6" s="18">
        <v>0</v>
      </c>
      <c r="W6" s="18" t="s">
        <v>271</v>
      </c>
      <c r="X6" s="18">
        <v>0</v>
      </c>
      <c r="Y6" s="18" t="s">
        <v>271</v>
      </c>
      <c r="Z6" s="18">
        <v>0</v>
      </c>
      <c r="AA6" s="18" t="s">
        <v>271</v>
      </c>
      <c r="AB6" s="18">
        <v>0</v>
      </c>
      <c r="AC6" s="18" t="s">
        <v>271</v>
      </c>
      <c r="AD6" s="18">
        <v>0</v>
      </c>
      <c r="AE6" s="18" t="s">
        <v>271</v>
      </c>
      <c r="AF6" s="18">
        <v>0</v>
      </c>
      <c r="AG6" s="18" t="s">
        <v>271</v>
      </c>
      <c r="AH6" s="18" t="e">
        <v>#N/A</v>
      </c>
    </row>
    <row r="7" spans="1:34">
      <c r="A7" s="18" t="s">
        <v>272</v>
      </c>
      <c r="B7" s="18">
        <v>3569.9717234836862</v>
      </c>
      <c r="C7" s="18" t="s">
        <v>272</v>
      </c>
      <c r="D7" s="18">
        <v>3577.7399187045889</v>
      </c>
      <c r="E7" s="18" t="s">
        <v>272</v>
      </c>
      <c r="F7" s="18">
        <v>130.26970138838314</v>
      </c>
      <c r="G7" s="18" t="s">
        <v>272</v>
      </c>
      <c r="H7" s="18">
        <v>23950.491872114297</v>
      </c>
      <c r="I7" s="18" t="s">
        <v>272</v>
      </c>
      <c r="J7" s="18">
        <v>23875.545475029205</v>
      </c>
      <c r="K7" s="18" t="s">
        <v>272</v>
      </c>
      <c r="L7" s="18">
        <v>204.96353607209565</v>
      </c>
      <c r="M7" s="18" t="s">
        <v>272</v>
      </c>
      <c r="N7" s="18">
        <v>26920.660473762855</v>
      </c>
      <c r="O7" s="18" t="s">
        <v>272</v>
      </c>
      <c r="P7" s="18">
        <v>26858.000524616091</v>
      </c>
      <c r="Q7" s="18" t="s">
        <v>272</v>
      </c>
      <c r="R7" s="18">
        <v>240.20445767762777</v>
      </c>
      <c r="S7" s="18" t="s">
        <v>272</v>
      </c>
      <c r="T7" s="18">
        <v>47.903108500312804</v>
      </c>
      <c r="U7" s="18" t="s">
        <v>272</v>
      </c>
      <c r="V7" s="18">
        <v>200.41081824032253</v>
      </c>
      <c r="W7" s="18" t="s">
        <v>272</v>
      </c>
      <c r="X7" s="18">
        <v>59.632591567124557</v>
      </c>
      <c r="Y7" s="18" t="s">
        <v>272</v>
      </c>
      <c r="Z7" s="18">
        <v>84.361793963273172</v>
      </c>
      <c r="AA7" s="18" t="s">
        <v>272</v>
      </c>
      <c r="AB7" s="18">
        <v>49.49301648905351</v>
      </c>
      <c r="AC7" s="18" t="s">
        <v>272</v>
      </c>
      <c r="AD7" s="18">
        <v>1.8459255175477525</v>
      </c>
      <c r="AE7" s="18" t="s">
        <v>272</v>
      </c>
      <c r="AF7" s="18">
        <v>54.438174303852257</v>
      </c>
      <c r="AG7" s="18" t="s">
        <v>272</v>
      </c>
      <c r="AH7" s="18">
        <v>7332.0899758798687</v>
      </c>
    </row>
    <row r="8" spans="1:34">
      <c r="A8" s="18" t="s">
        <v>273</v>
      </c>
      <c r="B8" s="18">
        <v>12744698.106473081</v>
      </c>
      <c r="C8" s="18" t="s">
        <v>273</v>
      </c>
      <c r="D8" s="18">
        <v>12800222.925892318</v>
      </c>
      <c r="E8" s="18" t="s">
        <v>273</v>
      </c>
      <c r="F8" s="18">
        <v>16970.195099818513</v>
      </c>
      <c r="G8" s="18" t="s">
        <v>273</v>
      </c>
      <c r="H8" s="18">
        <v>573626060.91621292</v>
      </c>
      <c r="I8" s="18" t="s">
        <v>273</v>
      </c>
      <c r="J8" s="18">
        <v>570041671.73018754</v>
      </c>
      <c r="K8" s="18" t="s">
        <v>273</v>
      </c>
      <c r="L8" s="18">
        <v>42010.051119177253</v>
      </c>
      <c r="M8" s="18" t="s">
        <v>273</v>
      </c>
      <c r="N8" s="18">
        <v>724721960.34361768</v>
      </c>
      <c r="O8" s="18" t="s">
        <v>273</v>
      </c>
      <c r="P8" s="18">
        <v>721352192.1802783</v>
      </c>
      <c r="Q8" s="18" t="s">
        <v>273</v>
      </c>
      <c r="R8" s="18">
        <v>57698.18148820327</v>
      </c>
      <c r="S8" s="18" t="s">
        <v>273</v>
      </c>
      <c r="T8" s="18">
        <v>2294.7078039927405</v>
      </c>
      <c r="U8" s="18" t="s">
        <v>273</v>
      </c>
      <c r="V8" s="18">
        <v>40164.496067755594</v>
      </c>
      <c r="W8" s="18" t="s">
        <v>273</v>
      </c>
      <c r="X8" s="18">
        <v>3556.0459770114944</v>
      </c>
      <c r="Y8" s="18" t="s">
        <v>273</v>
      </c>
      <c r="Z8" s="18">
        <v>7116.9122807017548</v>
      </c>
      <c r="AA8" s="18" t="s">
        <v>273</v>
      </c>
      <c r="AB8" s="18">
        <v>2449.5586811857229</v>
      </c>
      <c r="AC8" s="18" t="s">
        <v>273</v>
      </c>
      <c r="AD8" s="18">
        <v>3.4074410163339381</v>
      </c>
      <c r="AE8" s="18" t="s">
        <v>273</v>
      </c>
      <c r="AF8" s="18">
        <v>2963.5148215366003</v>
      </c>
      <c r="AG8" s="18" t="s">
        <v>273</v>
      </c>
      <c r="AH8" s="18">
        <v>53759543.414398059</v>
      </c>
    </row>
    <row r="9" spans="1:34">
      <c r="A9" s="18" t="s">
        <v>274</v>
      </c>
      <c r="B9" s="18">
        <v>5.7675634085902239</v>
      </c>
      <c r="C9" s="18" t="s">
        <v>274</v>
      </c>
      <c r="D9" s="18">
        <v>5.7143382277188781</v>
      </c>
      <c r="E9" s="18" t="s">
        <v>274</v>
      </c>
      <c r="F9" s="18">
        <v>12.39825280707297</v>
      </c>
      <c r="G9" s="18" t="s">
        <v>274</v>
      </c>
      <c r="H9" s="18">
        <v>1.9162478255142106</v>
      </c>
      <c r="I9" s="18" t="s">
        <v>274</v>
      </c>
      <c r="J9" s="18">
        <v>1.9467489753781453</v>
      </c>
      <c r="K9" s="18" t="s">
        <v>274</v>
      </c>
      <c r="L9" s="18">
        <v>4.9296205121372587</v>
      </c>
      <c r="M9" s="18" t="s">
        <v>274</v>
      </c>
      <c r="N9" s="18">
        <v>2.1484063014756818</v>
      </c>
      <c r="O9" s="18" t="s">
        <v>274</v>
      </c>
      <c r="P9" s="18">
        <v>2.1635926397266281</v>
      </c>
      <c r="Q9" s="18" t="s">
        <v>274</v>
      </c>
      <c r="R9" s="18">
        <v>3.9710499169161699</v>
      </c>
      <c r="S9" s="18" t="s">
        <v>274</v>
      </c>
      <c r="T9" s="18">
        <v>10.55498106263332</v>
      </c>
      <c r="U9" s="18" t="s">
        <v>274</v>
      </c>
      <c r="V9" s="18">
        <v>5.0801770734456113</v>
      </c>
      <c r="W9" s="18" t="s">
        <v>274</v>
      </c>
      <c r="X9" s="18">
        <v>22.559765435807847</v>
      </c>
      <c r="Y9" s="18" t="s">
        <v>274</v>
      </c>
      <c r="Z9" s="18">
        <v>54.814965302226547</v>
      </c>
      <c r="AA9" s="18" t="s">
        <v>274</v>
      </c>
      <c r="AB9" s="18">
        <v>54.476076142273421</v>
      </c>
      <c r="AC9" s="18" t="s">
        <v>274</v>
      </c>
      <c r="AD9" s="18">
        <v>39.282048089948795</v>
      </c>
      <c r="AE9" s="18" t="s">
        <v>274</v>
      </c>
      <c r="AF9" s="18">
        <v>33.304872707826256</v>
      </c>
      <c r="AG9" s="18" t="s">
        <v>274</v>
      </c>
      <c r="AH9" s="18">
        <v>5.8437803352293578</v>
      </c>
    </row>
    <row r="10" spans="1:34">
      <c r="A10" s="18" t="s">
        <v>275</v>
      </c>
      <c r="B10" s="18">
        <v>2.1794584153630017</v>
      </c>
      <c r="C10" s="18" t="s">
        <v>275</v>
      </c>
      <c r="D10" s="18">
        <v>2.1810409168334766</v>
      </c>
      <c r="E10" s="18" t="s">
        <v>275</v>
      </c>
      <c r="F10" s="18">
        <v>0.7680510360350451</v>
      </c>
      <c r="G10" s="18" t="s">
        <v>275</v>
      </c>
      <c r="H10" s="18">
        <v>1.5320049788518215</v>
      </c>
      <c r="I10" s="18" t="s">
        <v>275</v>
      </c>
      <c r="J10" s="18">
        <v>1.5372016732620444</v>
      </c>
      <c r="K10" s="18" t="s">
        <v>275</v>
      </c>
      <c r="L10" s="18">
        <v>2.0778248938192543</v>
      </c>
      <c r="M10" s="18" t="s">
        <v>275</v>
      </c>
      <c r="N10" s="18">
        <v>1.5542350762496173</v>
      </c>
      <c r="O10" s="18" t="s">
        <v>275</v>
      </c>
      <c r="P10" s="18">
        <v>1.5561619060695562</v>
      </c>
      <c r="Q10" s="18" t="s">
        <v>275</v>
      </c>
      <c r="R10" s="18">
        <v>1.8371107904203001</v>
      </c>
      <c r="S10" s="18" t="s">
        <v>275</v>
      </c>
      <c r="T10" s="18">
        <v>3.2178964099763134</v>
      </c>
      <c r="U10" s="18" t="s">
        <v>275</v>
      </c>
      <c r="V10" s="18">
        <v>2.2793536946657253</v>
      </c>
      <c r="W10" s="18" t="s">
        <v>275</v>
      </c>
      <c r="X10" s="18">
        <v>4.3573391160828479</v>
      </c>
      <c r="Y10" s="18" t="s">
        <v>275</v>
      </c>
      <c r="Z10" s="18">
        <v>7.3209195030575502</v>
      </c>
      <c r="AA10" s="18" t="s">
        <v>275</v>
      </c>
      <c r="AB10" s="18">
        <v>7.298372293446687</v>
      </c>
      <c r="AC10" s="18" t="s">
        <v>275</v>
      </c>
      <c r="AD10" s="18">
        <v>5.9891403190581016</v>
      </c>
      <c r="AE10" s="18" t="s">
        <v>275</v>
      </c>
      <c r="AF10" s="18">
        <v>5.4126321043615251</v>
      </c>
      <c r="AG10" s="18" t="s">
        <v>275</v>
      </c>
      <c r="AH10" s="18">
        <v>2.3282307190384519</v>
      </c>
    </row>
    <row r="11" spans="1:34">
      <c r="A11" s="18" t="s">
        <v>276</v>
      </c>
      <c r="B11" s="18">
        <v>17203</v>
      </c>
      <c r="C11" s="18" t="s">
        <v>276</v>
      </c>
      <c r="D11" s="18">
        <v>17283</v>
      </c>
      <c r="E11" s="18" t="s">
        <v>276</v>
      </c>
      <c r="F11" s="18">
        <v>1129</v>
      </c>
      <c r="G11" s="18" t="s">
        <v>276</v>
      </c>
      <c r="H11" s="18">
        <v>103879</v>
      </c>
      <c r="I11" s="18" t="s">
        <v>276</v>
      </c>
      <c r="J11" s="18">
        <v>103762</v>
      </c>
      <c r="K11" s="18" t="s">
        <v>276</v>
      </c>
      <c r="L11" s="18">
        <v>1165</v>
      </c>
      <c r="M11" s="18" t="s">
        <v>276</v>
      </c>
      <c r="N11" s="18">
        <v>121088</v>
      </c>
      <c r="O11" s="18" t="s">
        <v>276</v>
      </c>
      <c r="P11" s="18">
        <v>121051</v>
      </c>
      <c r="Q11" s="18" t="s">
        <v>276</v>
      </c>
      <c r="R11" s="18">
        <v>1417</v>
      </c>
      <c r="S11" s="18" t="s">
        <v>276</v>
      </c>
      <c r="T11" s="18">
        <v>233</v>
      </c>
      <c r="U11" s="18" t="s">
        <v>276</v>
      </c>
      <c r="V11" s="18">
        <v>888</v>
      </c>
      <c r="W11" s="18" t="s">
        <v>276</v>
      </c>
      <c r="X11" s="18">
        <v>376</v>
      </c>
      <c r="Y11" s="18" t="s">
        <v>276</v>
      </c>
      <c r="Z11" s="18">
        <v>639</v>
      </c>
      <c r="AA11" s="18" t="s">
        <v>276</v>
      </c>
      <c r="AB11" s="18">
        <v>373</v>
      </c>
      <c r="AC11" s="18" t="s">
        <v>276</v>
      </c>
      <c r="AD11" s="18">
        <v>13</v>
      </c>
      <c r="AE11" s="18" t="s">
        <v>276</v>
      </c>
      <c r="AF11" s="18">
        <v>371</v>
      </c>
      <c r="AG11" s="18" t="s">
        <v>276</v>
      </c>
      <c r="AH11" s="18">
        <v>33178</v>
      </c>
    </row>
    <row r="12" spans="1:34">
      <c r="A12" s="18" t="s">
        <v>277</v>
      </c>
      <c r="B12" s="18">
        <v>38</v>
      </c>
      <c r="C12" s="18" t="s">
        <v>277</v>
      </c>
      <c r="D12" s="18">
        <v>38</v>
      </c>
      <c r="E12" s="18" t="s">
        <v>277</v>
      </c>
      <c r="F12" s="18">
        <v>-530</v>
      </c>
      <c r="G12" s="18" t="s">
        <v>277</v>
      </c>
      <c r="H12" s="18">
        <v>345</v>
      </c>
      <c r="I12" s="18" t="s">
        <v>277</v>
      </c>
      <c r="J12" s="18">
        <v>345</v>
      </c>
      <c r="K12" s="18" t="s">
        <v>277</v>
      </c>
      <c r="L12" s="18">
        <v>-253</v>
      </c>
      <c r="M12" s="18" t="s">
        <v>277</v>
      </c>
      <c r="N12" s="18">
        <v>383</v>
      </c>
      <c r="O12" s="18" t="s">
        <v>277</v>
      </c>
      <c r="P12" s="18">
        <v>383</v>
      </c>
      <c r="Q12" s="18" t="s">
        <v>277</v>
      </c>
      <c r="R12" s="18">
        <v>-366</v>
      </c>
      <c r="S12" s="18" t="s">
        <v>277</v>
      </c>
      <c r="T12" s="18">
        <v>0</v>
      </c>
      <c r="U12" s="18" t="s">
        <v>277</v>
      </c>
      <c r="V12" s="18">
        <v>0</v>
      </c>
      <c r="W12" s="18" t="s">
        <v>277</v>
      </c>
      <c r="X12" s="18">
        <v>0</v>
      </c>
      <c r="Y12" s="18" t="s">
        <v>277</v>
      </c>
      <c r="Z12" s="18">
        <v>0</v>
      </c>
      <c r="AA12" s="18" t="s">
        <v>277</v>
      </c>
      <c r="AB12" s="18">
        <v>0</v>
      </c>
      <c r="AC12" s="18" t="s">
        <v>277</v>
      </c>
      <c r="AD12" s="18">
        <v>0</v>
      </c>
      <c r="AE12" s="18" t="s">
        <v>277</v>
      </c>
      <c r="AF12" s="18">
        <v>0</v>
      </c>
      <c r="AG12" s="18" t="s">
        <v>277</v>
      </c>
      <c r="AH12" s="18">
        <v>0</v>
      </c>
    </row>
    <row r="13" spans="1:34">
      <c r="A13" s="18" t="s">
        <v>278</v>
      </c>
      <c r="B13" s="18">
        <v>17241</v>
      </c>
      <c r="C13" s="18" t="s">
        <v>278</v>
      </c>
      <c r="D13" s="18">
        <v>17321</v>
      </c>
      <c r="E13" s="18" t="s">
        <v>278</v>
      </c>
      <c r="F13" s="18">
        <v>599</v>
      </c>
      <c r="G13" s="18" t="s">
        <v>278</v>
      </c>
      <c r="H13" s="18">
        <v>104224</v>
      </c>
      <c r="I13" s="18" t="s">
        <v>278</v>
      </c>
      <c r="J13" s="18">
        <v>104107</v>
      </c>
      <c r="K13" s="18" t="s">
        <v>278</v>
      </c>
      <c r="L13" s="18">
        <v>912</v>
      </c>
      <c r="M13" s="18" t="s">
        <v>278</v>
      </c>
      <c r="N13" s="18">
        <v>121471</v>
      </c>
      <c r="O13" s="18" t="s">
        <v>278</v>
      </c>
      <c r="P13" s="18">
        <v>121434</v>
      </c>
      <c r="Q13" s="18" t="s">
        <v>278</v>
      </c>
      <c r="R13" s="18">
        <v>1051</v>
      </c>
      <c r="S13" s="18" t="s">
        <v>278</v>
      </c>
      <c r="T13" s="18">
        <v>233</v>
      </c>
      <c r="U13" s="18" t="s">
        <v>278</v>
      </c>
      <c r="V13" s="18">
        <v>888</v>
      </c>
      <c r="W13" s="18" t="s">
        <v>278</v>
      </c>
      <c r="X13" s="18">
        <v>376</v>
      </c>
      <c r="Y13" s="18" t="s">
        <v>278</v>
      </c>
      <c r="Z13" s="18">
        <v>639</v>
      </c>
      <c r="AA13" s="18" t="s">
        <v>278</v>
      </c>
      <c r="AB13" s="18">
        <v>373</v>
      </c>
      <c r="AC13" s="18" t="s">
        <v>278</v>
      </c>
      <c r="AD13" s="18">
        <v>13</v>
      </c>
      <c r="AE13" s="18" t="s">
        <v>278</v>
      </c>
      <c r="AF13" s="18">
        <v>371</v>
      </c>
      <c r="AG13" s="18" t="s">
        <v>278</v>
      </c>
      <c r="AH13" s="18">
        <v>33178</v>
      </c>
    </row>
    <row r="14" spans="1:34">
      <c r="A14" s="18" t="s">
        <v>279</v>
      </c>
      <c r="B14" s="18">
        <v>187606</v>
      </c>
      <c r="C14" s="18" t="s">
        <v>279</v>
      </c>
      <c r="D14" s="18">
        <v>187069</v>
      </c>
      <c r="E14" s="18" t="s">
        <v>279</v>
      </c>
      <c r="F14" s="18">
        <v>537</v>
      </c>
      <c r="G14" s="18" t="s">
        <v>279</v>
      </c>
      <c r="H14" s="18">
        <v>1376481</v>
      </c>
      <c r="I14" s="18" t="s">
        <v>279</v>
      </c>
      <c r="J14" s="18">
        <v>1370438</v>
      </c>
      <c r="K14" s="18" t="s">
        <v>279</v>
      </c>
      <c r="L14" s="18">
        <v>6043</v>
      </c>
      <c r="M14" s="18" t="s">
        <v>279</v>
      </c>
      <c r="N14" s="18">
        <v>1564102</v>
      </c>
      <c r="O14" s="18" t="s">
        <v>279</v>
      </c>
      <c r="P14" s="18">
        <v>1557522</v>
      </c>
      <c r="Q14" s="18" t="s">
        <v>279</v>
      </c>
      <c r="R14" s="18">
        <v>6580</v>
      </c>
      <c r="S14" s="18" t="s">
        <v>279</v>
      </c>
      <c r="T14" s="18">
        <v>1128</v>
      </c>
      <c r="U14" s="18" t="s">
        <v>279</v>
      </c>
      <c r="V14" s="18">
        <v>5868</v>
      </c>
      <c r="W14" s="18" t="s">
        <v>279</v>
      </c>
      <c r="X14" s="18">
        <v>1204</v>
      </c>
      <c r="Y14" s="18" t="s">
        <v>279</v>
      </c>
      <c r="Z14" s="18">
        <v>928</v>
      </c>
      <c r="AA14" s="18" t="s">
        <v>279</v>
      </c>
      <c r="AB14" s="18">
        <v>467</v>
      </c>
      <c r="AC14" s="18" t="s">
        <v>279</v>
      </c>
      <c r="AD14" s="18">
        <v>25</v>
      </c>
      <c r="AE14" s="18" t="s">
        <v>279</v>
      </c>
      <c r="AF14" s="18">
        <v>838</v>
      </c>
      <c r="AG14" s="18" t="s">
        <v>279</v>
      </c>
      <c r="AH14" s="18">
        <v>316462</v>
      </c>
    </row>
    <row r="15" spans="1:34" ht="15.75" thickBot="1">
      <c r="A15" s="19" t="s">
        <v>280</v>
      </c>
      <c r="B15" s="19">
        <v>58</v>
      </c>
      <c r="C15" s="19" t="s">
        <v>280</v>
      </c>
      <c r="D15" s="19">
        <v>58</v>
      </c>
      <c r="E15" s="19" t="s">
        <v>280</v>
      </c>
      <c r="F15" s="19">
        <v>58</v>
      </c>
      <c r="G15" s="19" t="s">
        <v>280</v>
      </c>
      <c r="H15" s="19">
        <v>58</v>
      </c>
      <c r="I15" s="19" t="s">
        <v>280</v>
      </c>
      <c r="J15" s="19">
        <v>58</v>
      </c>
      <c r="K15" s="19" t="s">
        <v>280</v>
      </c>
      <c r="L15" s="19">
        <v>58</v>
      </c>
      <c r="M15" s="19" t="s">
        <v>280</v>
      </c>
      <c r="N15" s="19">
        <v>58</v>
      </c>
      <c r="O15" s="19" t="s">
        <v>280</v>
      </c>
      <c r="P15" s="19">
        <v>58</v>
      </c>
      <c r="Q15" s="19" t="s">
        <v>280</v>
      </c>
      <c r="R15" s="19">
        <v>58</v>
      </c>
      <c r="S15" s="19" t="s">
        <v>280</v>
      </c>
      <c r="T15" s="19">
        <v>58</v>
      </c>
      <c r="U15" s="19" t="s">
        <v>280</v>
      </c>
      <c r="V15" s="19">
        <v>58</v>
      </c>
      <c r="W15" s="19" t="s">
        <v>280</v>
      </c>
      <c r="X15" s="19">
        <v>58</v>
      </c>
      <c r="Y15" s="19" t="s">
        <v>280</v>
      </c>
      <c r="Z15" s="19">
        <v>58</v>
      </c>
      <c r="AA15" s="19" t="s">
        <v>280</v>
      </c>
      <c r="AB15" s="19">
        <v>58</v>
      </c>
      <c r="AC15" s="19" t="s">
        <v>280</v>
      </c>
      <c r="AD15" s="19">
        <v>58</v>
      </c>
      <c r="AE15" s="19" t="s">
        <v>280</v>
      </c>
      <c r="AF15" s="19">
        <v>58</v>
      </c>
      <c r="AG15" s="19" t="s">
        <v>280</v>
      </c>
      <c r="AH15" s="19">
        <v>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6ED20-40DF-437B-B03A-5BC54359BF80}">
  <dimension ref="A1:AH15"/>
  <sheetViews>
    <sheetView topLeftCell="AE1" workbookViewId="0">
      <selection activeCell="E11" sqref="E11"/>
    </sheetView>
  </sheetViews>
  <sheetFormatPr defaultRowHeight="15"/>
  <cols>
    <col min="1" max="1" width="18.140625" bestFit="1" customWidth="1"/>
    <col min="3" max="3" width="18.140625" bestFit="1" customWidth="1"/>
    <col min="5" max="5" width="18.140625" bestFit="1" customWidth="1"/>
    <col min="7" max="7" width="18.140625" bestFit="1" customWidth="1"/>
    <col min="9" max="9" width="18.140625" bestFit="1" customWidth="1"/>
    <col min="11" max="11" width="18.140625" bestFit="1" customWidth="1"/>
    <col min="13" max="13" width="20" bestFit="1" customWidth="1"/>
    <col min="15" max="15" width="20.140625" bestFit="1" customWidth="1"/>
    <col min="17" max="17" width="18.140625" bestFit="1" customWidth="1"/>
    <col min="19" max="19" width="18.140625" bestFit="1" customWidth="1"/>
    <col min="21" max="21" width="18.140625" bestFit="1" customWidth="1"/>
    <col min="23" max="23" width="18.140625" bestFit="1" customWidth="1"/>
    <col min="25" max="25" width="18.140625" bestFit="1" customWidth="1"/>
    <col min="27" max="27" width="18.140625" bestFit="1" customWidth="1"/>
    <col min="29" max="29" width="18.140625" bestFit="1" customWidth="1"/>
    <col min="31" max="31" width="18.140625" bestFit="1" customWidth="1"/>
    <col min="33" max="33" width="18.5703125" bestFit="1" customWidth="1"/>
  </cols>
  <sheetData>
    <row r="1" spans="1:34">
      <c r="A1" s="20" t="s">
        <v>174</v>
      </c>
      <c r="B1" s="20"/>
      <c r="C1" s="20" t="s">
        <v>175</v>
      </c>
      <c r="D1" s="20"/>
      <c r="E1" s="20" t="s">
        <v>176</v>
      </c>
      <c r="F1" s="20"/>
      <c r="G1" s="20" t="s">
        <v>177</v>
      </c>
      <c r="H1" s="20"/>
      <c r="I1" s="20" t="s">
        <v>178</v>
      </c>
      <c r="J1" s="20"/>
      <c r="K1" s="20" t="s">
        <v>179</v>
      </c>
      <c r="L1" s="20"/>
      <c r="M1" s="20" t="s">
        <v>180</v>
      </c>
      <c r="N1" s="20"/>
      <c r="O1" s="20" t="s">
        <v>181</v>
      </c>
      <c r="P1" s="20"/>
      <c r="Q1" s="20" t="s">
        <v>182</v>
      </c>
      <c r="R1" s="20"/>
      <c r="S1" s="20" t="s">
        <v>183</v>
      </c>
      <c r="T1" s="20"/>
      <c r="U1" s="20" t="s">
        <v>184</v>
      </c>
      <c r="V1" s="20"/>
      <c r="W1" s="20" t="s">
        <v>185</v>
      </c>
      <c r="X1" s="20"/>
      <c r="Y1" s="20" t="s">
        <v>186</v>
      </c>
      <c r="Z1" s="20"/>
      <c r="AA1" s="20" t="s">
        <v>187</v>
      </c>
      <c r="AB1" s="20"/>
      <c r="AC1" s="20" t="s">
        <v>188</v>
      </c>
      <c r="AD1" s="20"/>
      <c r="AE1" s="20" t="s">
        <v>189</v>
      </c>
      <c r="AF1" s="20"/>
      <c r="AG1" s="20" t="s">
        <v>190</v>
      </c>
      <c r="AH1" s="20"/>
    </row>
    <row r="2" spans="1:34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</row>
    <row r="3" spans="1:34">
      <c r="A3" s="18" t="s">
        <v>268</v>
      </c>
      <c r="B3" s="18">
        <v>3222.6315789473683</v>
      </c>
      <c r="C3" s="18" t="s">
        <v>268</v>
      </c>
      <c r="D3" s="18">
        <v>3213.1929824561403</v>
      </c>
      <c r="E3" s="18" t="s">
        <v>268</v>
      </c>
      <c r="F3" s="18">
        <v>9.4385964912280702</v>
      </c>
      <c r="G3" s="18" t="s">
        <v>268</v>
      </c>
      <c r="H3" s="18">
        <v>23773.21052631579</v>
      </c>
      <c r="I3" s="18" t="s">
        <v>268</v>
      </c>
      <c r="J3" s="18">
        <v>23667.21052631579</v>
      </c>
      <c r="K3" s="18" t="s">
        <v>268</v>
      </c>
      <c r="L3" s="18">
        <v>106</v>
      </c>
      <c r="M3" s="18" t="s">
        <v>268</v>
      </c>
      <c r="N3" s="18">
        <v>26996.105263157893</v>
      </c>
      <c r="O3" s="18" t="s">
        <v>268</v>
      </c>
      <c r="P3" s="18">
        <v>26880.666666666668</v>
      </c>
      <c r="Q3" s="18" t="s">
        <v>268</v>
      </c>
      <c r="R3" s="18">
        <v>115.43859649122807</v>
      </c>
      <c r="S3" s="18" t="s">
        <v>268</v>
      </c>
      <c r="T3" s="18">
        <v>19.578947368421051</v>
      </c>
      <c r="U3" s="18" t="s">
        <v>268</v>
      </c>
      <c r="V3" s="18">
        <v>102.94736842105263</v>
      </c>
      <c r="W3" s="18" t="s">
        <v>268</v>
      </c>
      <c r="X3" s="18">
        <v>21.12280701754386</v>
      </c>
      <c r="Y3" s="18" t="s">
        <v>268</v>
      </c>
      <c r="Z3" s="18">
        <v>16.087719298245613</v>
      </c>
      <c r="AA3" s="18" t="s">
        <v>268</v>
      </c>
      <c r="AB3" s="18">
        <v>8.192982456140351</v>
      </c>
      <c r="AC3" s="18" t="s">
        <v>268</v>
      </c>
      <c r="AD3" s="18">
        <v>0.43859649122807015</v>
      </c>
      <c r="AE3" s="18" t="s">
        <v>268</v>
      </c>
      <c r="AF3" s="18">
        <v>14.701754385964913</v>
      </c>
      <c r="AG3" s="18" t="s">
        <v>268</v>
      </c>
      <c r="AH3" s="18">
        <v>5446.9473684210525</v>
      </c>
    </row>
    <row r="4" spans="1:34">
      <c r="A4" s="18" t="s">
        <v>269</v>
      </c>
      <c r="B4" s="18">
        <v>476.90237741985374</v>
      </c>
      <c r="C4" s="18" t="s">
        <v>269</v>
      </c>
      <c r="D4" s="18">
        <v>477.9360855845502</v>
      </c>
      <c r="E4" s="18" t="s">
        <v>269</v>
      </c>
      <c r="F4" s="18">
        <v>17.407057479371336</v>
      </c>
      <c r="G4" s="18" t="s">
        <v>269</v>
      </c>
      <c r="H4" s="18">
        <v>3200.2500148785016</v>
      </c>
      <c r="I4" s="18" t="s">
        <v>269</v>
      </c>
      <c r="J4" s="18">
        <v>3190.2574718472515</v>
      </c>
      <c r="K4" s="18" t="s">
        <v>269</v>
      </c>
      <c r="L4" s="18">
        <v>27.327368840034676</v>
      </c>
      <c r="M4" s="18" t="s">
        <v>269</v>
      </c>
      <c r="N4" s="18">
        <v>3597.3049300590574</v>
      </c>
      <c r="O4" s="18" t="s">
        <v>269</v>
      </c>
      <c r="P4" s="18">
        <v>3588.947350344135</v>
      </c>
      <c r="Q4" s="18" t="s">
        <v>269</v>
      </c>
      <c r="R4" s="18">
        <v>32.034697056530305</v>
      </c>
      <c r="S4" s="18" t="s">
        <v>269</v>
      </c>
      <c r="T4" s="18">
        <v>6.399940640801101</v>
      </c>
      <c r="U4" s="18" t="s">
        <v>269</v>
      </c>
      <c r="V4" s="18">
        <v>26.720033000855587</v>
      </c>
      <c r="W4" s="18" t="s">
        <v>269</v>
      </c>
      <c r="X4" s="18">
        <v>7.9601163616417256</v>
      </c>
      <c r="Y4" s="18" t="s">
        <v>269</v>
      </c>
      <c r="Z4" s="18">
        <v>11.272965440075177</v>
      </c>
      <c r="AA4" s="18" t="s">
        <v>269</v>
      </c>
      <c r="AB4" s="18">
        <v>6.6122199566177278</v>
      </c>
      <c r="AC4" s="18" t="s">
        <v>269</v>
      </c>
      <c r="AD4" s="18">
        <v>0.24655209337816134</v>
      </c>
      <c r="AE4" s="18" t="s">
        <v>269</v>
      </c>
      <c r="AF4" s="18">
        <v>7.2700317381604389</v>
      </c>
      <c r="AG4" s="18" t="s">
        <v>269</v>
      </c>
      <c r="AH4" s="18">
        <v>979.74608092908306</v>
      </c>
    </row>
    <row r="5" spans="1:34">
      <c r="A5" s="18" t="s">
        <v>270</v>
      </c>
      <c r="B5" s="18">
        <v>2113</v>
      </c>
      <c r="C5" s="18" t="s">
        <v>270</v>
      </c>
      <c r="D5" s="18">
        <v>2166</v>
      </c>
      <c r="E5" s="18" t="s">
        <v>270</v>
      </c>
      <c r="F5" s="18">
        <v>0</v>
      </c>
      <c r="G5" s="18" t="s">
        <v>270</v>
      </c>
      <c r="H5" s="18">
        <v>18831</v>
      </c>
      <c r="I5" s="18" t="s">
        <v>270</v>
      </c>
      <c r="J5" s="18">
        <v>18437</v>
      </c>
      <c r="K5" s="18" t="s">
        <v>270</v>
      </c>
      <c r="L5" s="18">
        <v>2</v>
      </c>
      <c r="M5" s="18" t="s">
        <v>270</v>
      </c>
      <c r="N5" s="18">
        <v>19531</v>
      </c>
      <c r="O5" s="18" t="s">
        <v>270</v>
      </c>
      <c r="P5" s="18">
        <v>19118</v>
      </c>
      <c r="Q5" s="18" t="s">
        <v>270</v>
      </c>
      <c r="R5" s="18">
        <v>0</v>
      </c>
      <c r="S5" s="18" t="s">
        <v>270</v>
      </c>
      <c r="T5" s="18">
        <v>0</v>
      </c>
      <c r="U5" s="18" t="s">
        <v>270</v>
      </c>
      <c r="V5" s="18">
        <v>0</v>
      </c>
      <c r="W5" s="18" t="s">
        <v>270</v>
      </c>
      <c r="X5" s="18">
        <v>0</v>
      </c>
      <c r="Y5" s="18" t="s">
        <v>270</v>
      </c>
      <c r="Z5" s="18">
        <v>0</v>
      </c>
      <c r="AA5" s="18" t="s">
        <v>270</v>
      </c>
      <c r="AB5" s="18">
        <v>0</v>
      </c>
      <c r="AC5" s="18" t="s">
        <v>270</v>
      </c>
      <c r="AD5" s="18">
        <v>0</v>
      </c>
      <c r="AE5" s="18" t="s">
        <v>270</v>
      </c>
      <c r="AF5" s="18">
        <v>0</v>
      </c>
      <c r="AG5" s="18" t="s">
        <v>270</v>
      </c>
      <c r="AH5" s="18">
        <v>2679</v>
      </c>
    </row>
    <row r="6" spans="1:34">
      <c r="A6" s="18" t="s">
        <v>271</v>
      </c>
      <c r="B6" s="18" t="e">
        <v>#N/A</v>
      </c>
      <c r="C6" s="18" t="s">
        <v>271</v>
      </c>
      <c r="D6" s="18" t="e">
        <v>#N/A</v>
      </c>
      <c r="E6" s="18" t="s">
        <v>271</v>
      </c>
      <c r="F6" s="18">
        <v>0</v>
      </c>
      <c r="G6" s="18" t="s">
        <v>271</v>
      </c>
      <c r="H6" s="18" t="e">
        <v>#N/A</v>
      </c>
      <c r="I6" s="18" t="s">
        <v>271</v>
      </c>
      <c r="J6" s="18" t="e">
        <v>#N/A</v>
      </c>
      <c r="K6" s="18" t="s">
        <v>271</v>
      </c>
      <c r="L6" s="18">
        <v>0</v>
      </c>
      <c r="M6" s="18" t="s">
        <v>271</v>
      </c>
      <c r="N6" s="18" t="e">
        <v>#N/A</v>
      </c>
      <c r="O6" s="18" t="s">
        <v>271</v>
      </c>
      <c r="P6" s="18" t="e">
        <v>#N/A</v>
      </c>
      <c r="Q6" s="18" t="s">
        <v>271</v>
      </c>
      <c r="R6" s="18">
        <v>0</v>
      </c>
      <c r="S6" s="18" t="s">
        <v>271</v>
      </c>
      <c r="T6" s="18">
        <v>0</v>
      </c>
      <c r="U6" s="18" t="s">
        <v>271</v>
      </c>
      <c r="V6" s="18">
        <v>0</v>
      </c>
      <c r="W6" s="18" t="s">
        <v>271</v>
      </c>
      <c r="X6" s="18">
        <v>0</v>
      </c>
      <c r="Y6" s="18" t="s">
        <v>271</v>
      </c>
      <c r="Z6" s="18">
        <v>0</v>
      </c>
      <c r="AA6" s="18" t="s">
        <v>271</v>
      </c>
      <c r="AB6" s="18">
        <v>0</v>
      </c>
      <c r="AC6" s="18" t="s">
        <v>271</v>
      </c>
      <c r="AD6" s="18">
        <v>0</v>
      </c>
      <c r="AE6" s="18" t="s">
        <v>271</v>
      </c>
      <c r="AF6" s="18">
        <v>0</v>
      </c>
      <c r="AG6" s="18" t="s">
        <v>271</v>
      </c>
      <c r="AH6" s="18" t="e">
        <v>#N/A</v>
      </c>
    </row>
    <row r="7" spans="1:34">
      <c r="A7" s="18" t="s">
        <v>272</v>
      </c>
      <c r="B7" s="18">
        <v>3600.5339913068992</v>
      </c>
      <c r="C7" s="18" t="s">
        <v>272</v>
      </c>
      <c r="D7" s="18">
        <v>3608.3383168047453</v>
      </c>
      <c r="E7" s="18" t="s">
        <v>272</v>
      </c>
      <c r="F7" s="18">
        <v>131.42040197449498</v>
      </c>
      <c r="G7" s="18" t="s">
        <v>272</v>
      </c>
      <c r="H7" s="18">
        <v>24161.357763805441</v>
      </c>
      <c r="I7" s="18" t="s">
        <v>272</v>
      </c>
      <c r="J7" s="18">
        <v>24085.915718332184</v>
      </c>
      <c r="K7" s="18" t="s">
        <v>272</v>
      </c>
      <c r="L7" s="18">
        <v>206.31711029383868</v>
      </c>
      <c r="M7" s="18" t="s">
        <v>272</v>
      </c>
      <c r="N7" s="18">
        <v>27159.056635129109</v>
      </c>
      <c r="O7" s="18" t="s">
        <v>272</v>
      </c>
      <c r="P7" s="18">
        <v>27095.958292001866</v>
      </c>
      <c r="Q7" s="18" t="s">
        <v>272</v>
      </c>
      <c r="R7" s="18">
        <v>241.85665896085902</v>
      </c>
      <c r="S7" s="18" t="s">
        <v>272</v>
      </c>
      <c r="T7" s="18">
        <v>48.3184922336089</v>
      </c>
      <c r="U7" s="18" t="s">
        <v>272</v>
      </c>
      <c r="V7" s="18">
        <v>201.73182526143034</v>
      </c>
      <c r="W7" s="18" t="s">
        <v>272</v>
      </c>
      <c r="X7" s="18">
        <v>60.097560615884817</v>
      </c>
      <c r="Y7" s="18" t="s">
        <v>272</v>
      </c>
      <c r="Z7" s="18">
        <v>85.109022667096653</v>
      </c>
      <c r="AA7" s="18" t="s">
        <v>272</v>
      </c>
      <c r="AB7" s="18">
        <v>49.921165922056986</v>
      </c>
      <c r="AC7" s="18" t="s">
        <v>272</v>
      </c>
      <c r="AD7" s="18">
        <v>1.8614274846745318</v>
      </c>
      <c r="AE7" s="18" t="s">
        <v>272</v>
      </c>
      <c r="AF7" s="18">
        <v>54.887535962274946</v>
      </c>
      <c r="AG7" s="18" t="s">
        <v>272</v>
      </c>
      <c r="AH7" s="18">
        <v>7396.9206996199546</v>
      </c>
    </row>
    <row r="8" spans="1:34">
      <c r="A8" s="18" t="s">
        <v>273</v>
      </c>
      <c r="B8" s="18">
        <v>12963845.022556391</v>
      </c>
      <c r="C8" s="18" t="s">
        <v>273</v>
      </c>
      <c r="D8" s="18">
        <v>13020105.408521304</v>
      </c>
      <c r="E8" s="18" t="s">
        <v>273</v>
      </c>
      <c r="F8" s="18">
        <v>17271.322055137844</v>
      </c>
      <c r="G8" s="18" t="s">
        <v>273</v>
      </c>
      <c r="H8" s="18">
        <v>583771208.99060142</v>
      </c>
      <c r="I8" s="18" t="s">
        <v>273</v>
      </c>
      <c r="J8" s="18">
        <v>580131335.99060142</v>
      </c>
      <c r="K8" s="18" t="s">
        <v>273</v>
      </c>
      <c r="L8" s="18">
        <v>42566.75</v>
      </c>
      <c r="M8" s="18" t="s">
        <v>273</v>
      </c>
      <c r="N8" s="18">
        <v>737614357.31015038</v>
      </c>
      <c r="O8" s="18" t="s">
        <v>273</v>
      </c>
      <c r="P8" s="18">
        <v>734190955.76190472</v>
      </c>
      <c r="Q8" s="18" t="s">
        <v>273</v>
      </c>
      <c r="R8" s="18">
        <v>58494.643483709275</v>
      </c>
      <c r="S8" s="18" t="s">
        <v>273</v>
      </c>
      <c r="T8" s="18">
        <v>2334.6766917293235</v>
      </c>
      <c r="U8" s="18" t="s">
        <v>273</v>
      </c>
      <c r="V8" s="18">
        <v>40695.729323308267</v>
      </c>
      <c r="W8" s="18" t="s">
        <v>273</v>
      </c>
      <c r="X8" s="18">
        <v>3611.7167919799499</v>
      </c>
      <c r="Y8" s="18" t="s">
        <v>273</v>
      </c>
      <c r="Z8" s="18">
        <v>7243.5457393483712</v>
      </c>
      <c r="AA8" s="18" t="s">
        <v>273</v>
      </c>
      <c r="AB8" s="18">
        <v>2492.1228070175434</v>
      </c>
      <c r="AC8" s="18" t="s">
        <v>273</v>
      </c>
      <c r="AD8" s="18">
        <v>3.4649122807017543</v>
      </c>
      <c r="AE8" s="18" t="s">
        <v>273</v>
      </c>
      <c r="AF8" s="18">
        <v>3012.6416040100253</v>
      </c>
      <c r="AG8" s="18" t="s">
        <v>273</v>
      </c>
      <c r="AH8" s="18">
        <v>54714435.836466156</v>
      </c>
    </row>
    <row r="9" spans="1:34">
      <c r="A9" s="18" t="s">
        <v>274</v>
      </c>
      <c r="B9" s="18">
        <v>5.6666772825563703</v>
      </c>
      <c r="C9" s="18" t="s">
        <v>274</v>
      </c>
      <c r="D9" s="18">
        <v>5.6149347006510295</v>
      </c>
      <c r="E9" s="18" t="s">
        <v>274</v>
      </c>
      <c r="F9" s="18">
        <v>12.14986949421267</v>
      </c>
      <c r="G9" s="18" t="s">
        <v>274</v>
      </c>
      <c r="H9" s="18">
        <v>1.8241228351349799</v>
      </c>
      <c r="I9" s="18" t="s">
        <v>274</v>
      </c>
      <c r="J9" s="18">
        <v>1.8544375586596304</v>
      </c>
      <c r="K9" s="18" t="s">
        <v>274</v>
      </c>
      <c r="L9" s="18">
        <v>4.7930821258390344</v>
      </c>
      <c r="M9" s="18" t="s">
        <v>274</v>
      </c>
      <c r="N9" s="18">
        <v>2.0556314809190699</v>
      </c>
      <c r="O9" s="18" t="s">
        <v>274</v>
      </c>
      <c r="P9" s="18">
        <v>2.0709524724101058</v>
      </c>
      <c r="Q9" s="18" t="s">
        <v>274</v>
      </c>
      <c r="R9" s="18">
        <v>3.8468881158995698</v>
      </c>
      <c r="S9" s="18" t="s">
        <v>274</v>
      </c>
      <c r="T9" s="18">
        <v>10.311198883020197</v>
      </c>
      <c r="U9" s="18" t="s">
        <v>274</v>
      </c>
      <c r="V9" s="18">
        <v>4.935196004417775</v>
      </c>
      <c r="W9" s="18" t="s">
        <v>274</v>
      </c>
      <c r="X9" s="18">
        <v>22.149957294081904</v>
      </c>
      <c r="Y9" s="18" t="s">
        <v>274</v>
      </c>
      <c r="Z9" s="18">
        <v>53.876997176316031</v>
      </c>
      <c r="AA9" s="18" t="s">
        <v>274</v>
      </c>
      <c r="AB9" s="18">
        <v>53.534043476820209</v>
      </c>
      <c r="AC9" s="18" t="s">
        <v>274</v>
      </c>
      <c r="AD9" s="18">
        <v>38.590513691403913</v>
      </c>
      <c r="AE9" s="18" t="s">
        <v>274</v>
      </c>
      <c r="AF9" s="18">
        <v>32.713244551574235</v>
      </c>
      <c r="AG9" s="18" t="s">
        <v>274</v>
      </c>
      <c r="AH9" s="18">
        <v>5.7134692237049292</v>
      </c>
    </row>
    <row r="10" spans="1:34">
      <c r="A10" s="18" t="s">
        <v>275</v>
      </c>
      <c r="B10" s="18">
        <v>2.1739182038215454</v>
      </c>
      <c r="C10" s="18" t="s">
        <v>275</v>
      </c>
      <c r="D10" s="18">
        <v>2.1756718036733829</v>
      </c>
      <c r="E10" s="18" t="s">
        <v>275</v>
      </c>
      <c r="F10" s="18">
        <v>0.75763874768500783</v>
      </c>
      <c r="G10" s="18" t="s">
        <v>275</v>
      </c>
      <c r="H10" s="18">
        <v>1.5146111857144029</v>
      </c>
      <c r="I10" s="18" t="s">
        <v>275</v>
      </c>
      <c r="J10" s="18">
        <v>1.5199507213804591</v>
      </c>
      <c r="K10" s="18" t="s">
        <v>275</v>
      </c>
      <c r="L10" s="18">
        <v>2.0499092743418741</v>
      </c>
      <c r="M10" s="18" t="s">
        <v>275</v>
      </c>
      <c r="N10" s="18">
        <v>1.5383645713044305</v>
      </c>
      <c r="O10" s="18" t="s">
        <v>275</v>
      </c>
      <c r="P10" s="18">
        <v>1.5404758269739405</v>
      </c>
      <c r="Q10" s="18" t="s">
        <v>275</v>
      </c>
      <c r="R10" s="18">
        <v>1.8093277098868319</v>
      </c>
      <c r="S10" s="18" t="s">
        <v>275</v>
      </c>
      <c r="T10" s="18">
        <v>3.1852708989772056</v>
      </c>
      <c r="U10" s="18" t="s">
        <v>275</v>
      </c>
      <c r="V10" s="18">
        <v>2.2511810801501864</v>
      </c>
      <c r="W10" s="18" t="s">
        <v>275</v>
      </c>
      <c r="X10" s="18">
        <v>4.3176384242306227</v>
      </c>
      <c r="Y10" s="18" t="s">
        <v>275</v>
      </c>
      <c r="Z10" s="18">
        <v>7.2584485754612418</v>
      </c>
      <c r="AA10" s="18" t="s">
        <v>275</v>
      </c>
      <c r="AB10" s="18">
        <v>7.2350167162722308</v>
      </c>
      <c r="AC10" s="18" t="s">
        <v>275</v>
      </c>
      <c r="AD10" s="18">
        <v>5.9363758453976931</v>
      </c>
      <c r="AE10" s="18" t="s">
        <v>275</v>
      </c>
      <c r="AF10" s="18">
        <v>5.3644274110732111</v>
      </c>
      <c r="AG10" s="18" t="s">
        <v>275</v>
      </c>
      <c r="AH10" s="18">
        <v>2.313386633006377</v>
      </c>
    </row>
    <row r="11" spans="1:34">
      <c r="A11" s="18" t="s">
        <v>276</v>
      </c>
      <c r="B11" s="18">
        <v>17203</v>
      </c>
      <c r="C11" s="18" t="s">
        <v>276</v>
      </c>
      <c r="D11" s="18">
        <v>17283</v>
      </c>
      <c r="E11" s="18" t="s">
        <v>276</v>
      </c>
      <c r="F11" s="18">
        <v>1129</v>
      </c>
      <c r="G11" s="18" t="s">
        <v>276</v>
      </c>
      <c r="H11" s="18">
        <v>103879</v>
      </c>
      <c r="I11" s="18" t="s">
        <v>276</v>
      </c>
      <c r="J11" s="18">
        <v>103762</v>
      </c>
      <c r="K11" s="18" t="s">
        <v>276</v>
      </c>
      <c r="L11" s="18">
        <v>1165</v>
      </c>
      <c r="M11" s="18" t="s">
        <v>276</v>
      </c>
      <c r="N11" s="18">
        <v>121088</v>
      </c>
      <c r="O11" s="18" t="s">
        <v>276</v>
      </c>
      <c r="P11" s="18">
        <v>121051</v>
      </c>
      <c r="Q11" s="18" t="s">
        <v>276</v>
      </c>
      <c r="R11" s="18">
        <v>1417</v>
      </c>
      <c r="S11" s="18" t="s">
        <v>276</v>
      </c>
      <c r="T11" s="18">
        <v>233</v>
      </c>
      <c r="U11" s="18" t="s">
        <v>276</v>
      </c>
      <c r="V11" s="18">
        <v>888</v>
      </c>
      <c r="W11" s="18" t="s">
        <v>276</v>
      </c>
      <c r="X11" s="18">
        <v>376</v>
      </c>
      <c r="Y11" s="18" t="s">
        <v>276</v>
      </c>
      <c r="Z11" s="18">
        <v>639</v>
      </c>
      <c r="AA11" s="18" t="s">
        <v>276</v>
      </c>
      <c r="AB11" s="18">
        <v>373</v>
      </c>
      <c r="AC11" s="18" t="s">
        <v>276</v>
      </c>
      <c r="AD11" s="18">
        <v>13</v>
      </c>
      <c r="AE11" s="18" t="s">
        <v>276</v>
      </c>
      <c r="AF11" s="18">
        <v>371</v>
      </c>
      <c r="AG11" s="18" t="s">
        <v>276</v>
      </c>
      <c r="AH11" s="18">
        <v>33178</v>
      </c>
    </row>
    <row r="12" spans="1:34">
      <c r="A12" s="18" t="s">
        <v>277</v>
      </c>
      <c r="B12" s="18">
        <v>38</v>
      </c>
      <c r="C12" s="18" t="s">
        <v>277</v>
      </c>
      <c r="D12" s="18">
        <v>38</v>
      </c>
      <c r="E12" s="18" t="s">
        <v>277</v>
      </c>
      <c r="F12" s="18">
        <v>-530</v>
      </c>
      <c r="G12" s="18" t="s">
        <v>277</v>
      </c>
      <c r="H12" s="18">
        <v>345</v>
      </c>
      <c r="I12" s="18" t="s">
        <v>277</v>
      </c>
      <c r="J12" s="18">
        <v>345</v>
      </c>
      <c r="K12" s="18" t="s">
        <v>277</v>
      </c>
      <c r="L12" s="18">
        <v>-253</v>
      </c>
      <c r="M12" s="18" t="s">
        <v>277</v>
      </c>
      <c r="N12" s="18">
        <v>383</v>
      </c>
      <c r="O12" s="18" t="s">
        <v>277</v>
      </c>
      <c r="P12" s="18">
        <v>383</v>
      </c>
      <c r="Q12" s="18" t="s">
        <v>277</v>
      </c>
      <c r="R12" s="18">
        <v>-366</v>
      </c>
      <c r="S12" s="18" t="s">
        <v>277</v>
      </c>
      <c r="T12" s="18">
        <v>0</v>
      </c>
      <c r="U12" s="18" t="s">
        <v>277</v>
      </c>
      <c r="V12" s="18">
        <v>0</v>
      </c>
      <c r="W12" s="18" t="s">
        <v>277</v>
      </c>
      <c r="X12" s="18">
        <v>0</v>
      </c>
      <c r="Y12" s="18" t="s">
        <v>277</v>
      </c>
      <c r="Z12" s="18">
        <v>0</v>
      </c>
      <c r="AA12" s="18" t="s">
        <v>277</v>
      </c>
      <c r="AB12" s="18">
        <v>0</v>
      </c>
      <c r="AC12" s="18" t="s">
        <v>277</v>
      </c>
      <c r="AD12" s="18">
        <v>0</v>
      </c>
      <c r="AE12" s="18" t="s">
        <v>277</v>
      </c>
      <c r="AF12" s="18">
        <v>0</v>
      </c>
      <c r="AG12" s="18" t="s">
        <v>277</v>
      </c>
      <c r="AH12" s="18">
        <v>0</v>
      </c>
    </row>
    <row r="13" spans="1:34">
      <c r="A13" s="18" t="s">
        <v>278</v>
      </c>
      <c r="B13" s="18">
        <v>17241</v>
      </c>
      <c r="C13" s="18" t="s">
        <v>278</v>
      </c>
      <c r="D13" s="18">
        <v>17321</v>
      </c>
      <c r="E13" s="18" t="s">
        <v>278</v>
      </c>
      <c r="F13" s="18">
        <v>599</v>
      </c>
      <c r="G13" s="18" t="s">
        <v>278</v>
      </c>
      <c r="H13" s="18">
        <v>104224</v>
      </c>
      <c r="I13" s="18" t="s">
        <v>278</v>
      </c>
      <c r="J13" s="18">
        <v>104107</v>
      </c>
      <c r="K13" s="18" t="s">
        <v>278</v>
      </c>
      <c r="L13" s="18">
        <v>912</v>
      </c>
      <c r="M13" s="18" t="s">
        <v>278</v>
      </c>
      <c r="N13" s="18">
        <v>121471</v>
      </c>
      <c r="O13" s="18" t="s">
        <v>278</v>
      </c>
      <c r="P13" s="18">
        <v>121434</v>
      </c>
      <c r="Q13" s="18" t="s">
        <v>278</v>
      </c>
      <c r="R13" s="18">
        <v>1051</v>
      </c>
      <c r="S13" s="18" t="s">
        <v>278</v>
      </c>
      <c r="T13" s="18">
        <v>233</v>
      </c>
      <c r="U13" s="18" t="s">
        <v>278</v>
      </c>
      <c r="V13" s="18">
        <v>888</v>
      </c>
      <c r="W13" s="18" t="s">
        <v>278</v>
      </c>
      <c r="X13" s="18">
        <v>376</v>
      </c>
      <c r="Y13" s="18" t="s">
        <v>278</v>
      </c>
      <c r="Z13" s="18">
        <v>639</v>
      </c>
      <c r="AA13" s="18" t="s">
        <v>278</v>
      </c>
      <c r="AB13" s="18">
        <v>373</v>
      </c>
      <c r="AC13" s="18" t="s">
        <v>278</v>
      </c>
      <c r="AD13" s="18">
        <v>13</v>
      </c>
      <c r="AE13" s="18" t="s">
        <v>278</v>
      </c>
      <c r="AF13" s="18">
        <v>371</v>
      </c>
      <c r="AG13" s="18" t="s">
        <v>278</v>
      </c>
      <c r="AH13" s="18">
        <v>33178</v>
      </c>
    </row>
    <row r="14" spans="1:34">
      <c r="A14" s="18" t="s">
        <v>279</v>
      </c>
      <c r="B14" s="18">
        <v>183690</v>
      </c>
      <c r="C14" s="18" t="s">
        <v>279</v>
      </c>
      <c r="D14" s="18">
        <v>183152</v>
      </c>
      <c r="E14" s="18" t="s">
        <v>279</v>
      </c>
      <c r="F14" s="18">
        <v>538</v>
      </c>
      <c r="G14" s="18" t="s">
        <v>279</v>
      </c>
      <c r="H14" s="18">
        <v>1355073</v>
      </c>
      <c r="I14" s="18" t="s">
        <v>279</v>
      </c>
      <c r="J14" s="18">
        <v>1349031</v>
      </c>
      <c r="K14" s="18" t="s">
        <v>279</v>
      </c>
      <c r="L14" s="18">
        <v>6042</v>
      </c>
      <c r="M14" s="18" t="s">
        <v>279</v>
      </c>
      <c r="N14" s="18">
        <v>1538778</v>
      </c>
      <c r="O14" s="18" t="s">
        <v>279</v>
      </c>
      <c r="P14" s="18">
        <v>1532198</v>
      </c>
      <c r="Q14" s="18" t="s">
        <v>279</v>
      </c>
      <c r="R14" s="18">
        <v>6580</v>
      </c>
      <c r="S14" s="18" t="s">
        <v>279</v>
      </c>
      <c r="T14" s="18">
        <v>1116</v>
      </c>
      <c r="U14" s="18" t="s">
        <v>279</v>
      </c>
      <c r="V14" s="18">
        <v>5868</v>
      </c>
      <c r="W14" s="18" t="s">
        <v>279</v>
      </c>
      <c r="X14" s="18">
        <v>1204</v>
      </c>
      <c r="Y14" s="18" t="s">
        <v>279</v>
      </c>
      <c r="Z14" s="18">
        <v>917</v>
      </c>
      <c r="AA14" s="18" t="s">
        <v>279</v>
      </c>
      <c r="AB14" s="18">
        <v>467</v>
      </c>
      <c r="AC14" s="18" t="s">
        <v>279</v>
      </c>
      <c r="AD14" s="18">
        <v>25</v>
      </c>
      <c r="AE14" s="18" t="s">
        <v>279</v>
      </c>
      <c r="AF14" s="18">
        <v>838</v>
      </c>
      <c r="AG14" s="18" t="s">
        <v>279</v>
      </c>
      <c r="AH14" s="18">
        <v>310476</v>
      </c>
    </row>
    <row r="15" spans="1:34" ht="15.75" thickBot="1">
      <c r="A15" s="19" t="s">
        <v>280</v>
      </c>
      <c r="B15" s="19">
        <v>57</v>
      </c>
      <c r="C15" s="19" t="s">
        <v>280</v>
      </c>
      <c r="D15" s="19">
        <v>57</v>
      </c>
      <c r="E15" s="19" t="s">
        <v>280</v>
      </c>
      <c r="F15" s="19">
        <v>57</v>
      </c>
      <c r="G15" s="19" t="s">
        <v>280</v>
      </c>
      <c r="H15" s="19">
        <v>57</v>
      </c>
      <c r="I15" s="19" t="s">
        <v>280</v>
      </c>
      <c r="J15" s="19">
        <v>57</v>
      </c>
      <c r="K15" s="19" t="s">
        <v>280</v>
      </c>
      <c r="L15" s="19">
        <v>57</v>
      </c>
      <c r="M15" s="19" t="s">
        <v>280</v>
      </c>
      <c r="N15" s="19">
        <v>57</v>
      </c>
      <c r="O15" s="19" t="s">
        <v>280</v>
      </c>
      <c r="P15" s="19">
        <v>57</v>
      </c>
      <c r="Q15" s="19" t="s">
        <v>280</v>
      </c>
      <c r="R15" s="19">
        <v>57</v>
      </c>
      <c r="S15" s="19" t="s">
        <v>280</v>
      </c>
      <c r="T15" s="19">
        <v>57</v>
      </c>
      <c r="U15" s="19" t="s">
        <v>280</v>
      </c>
      <c r="V15" s="19">
        <v>57</v>
      </c>
      <c r="W15" s="19" t="s">
        <v>280</v>
      </c>
      <c r="X15" s="19">
        <v>57</v>
      </c>
      <c r="Y15" s="19" t="s">
        <v>280</v>
      </c>
      <c r="Z15" s="19">
        <v>57</v>
      </c>
      <c r="AA15" s="19" t="s">
        <v>280</v>
      </c>
      <c r="AB15" s="19">
        <v>57</v>
      </c>
      <c r="AC15" s="19" t="s">
        <v>280</v>
      </c>
      <c r="AD15" s="19">
        <v>57</v>
      </c>
      <c r="AE15" s="19" t="s">
        <v>280</v>
      </c>
      <c r="AF15" s="19">
        <v>57</v>
      </c>
      <c r="AG15" s="19" t="s">
        <v>280</v>
      </c>
      <c r="AH15" s="19">
        <v>57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U61"/>
  <sheetViews>
    <sheetView zoomScale="101" zoomScaleNormal="130" workbookViewId="0">
      <pane ySplit="1" topLeftCell="A2" activePane="bottomLeft" state="frozen"/>
      <selection pane="bottomLeft" activeCell="E1" sqref="E1"/>
    </sheetView>
  </sheetViews>
  <sheetFormatPr defaultRowHeight="15"/>
  <cols>
    <col min="1" max="1" width="10" bestFit="1" customWidth="1"/>
    <col min="2" max="2" width="6.140625" bestFit="1" customWidth="1"/>
    <col min="3" max="3" width="19.5703125" bestFit="1" customWidth="1"/>
    <col min="4" max="4" width="14.42578125" bestFit="1" customWidth="1"/>
    <col min="5" max="5" width="12.85546875" bestFit="1" customWidth="1"/>
    <col min="6" max="6" width="13.140625" bestFit="1" customWidth="1"/>
    <col min="7" max="7" width="10.85546875" bestFit="1" customWidth="1"/>
    <col min="8" max="8" width="15" bestFit="1" customWidth="1"/>
    <col min="9" max="9" width="15.140625" bestFit="1" customWidth="1"/>
    <col min="10" max="10" width="14.42578125" bestFit="1" customWidth="1"/>
    <col min="11" max="11" width="18.140625" bestFit="1" customWidth="1"/>
    <col min="12" max="12" width="18.28515625" bestFit="1" customWidth="1"/>
    <col min="13" max="13" width="12.85546875" bestFit="1" customWidth="1"/>
    <col min="14" max="14" width="12" bestFit="1" customWidth="1"/>
    <col min="15" max="15" width="7.7109375" bestFit="1" customWidth="1"/>
    <col min="16" max="16" width="8.140625" bestFit="1" customWidth="1"/>
    <col min="17" max="17" width="14" bestFit="1" customWidth="1"/>
    <col min="18" max="18" width="12.140625" bestFit="1" customWidth="1"/>
    <col min="19" max="19" width="11.7109375" bestFit="1" customWidth="1"/>
    <col min="20" max="20" width="12" bestFit="1" customWidth="1"/>
    <col min="21" max="21" width="15.85546875" bestFit="1" customWidth="1"/>
  </cols>
  <sheetData>
    <row r="1" spans="1:21">
      <c r="A1" s="15" t="s">
        <v>191</v>
      </c>
      <c r="B1" s="15" t="s">
        <v>192</v>
      </c>
      <c r="C1" s="15" t="s">
        <v>193</v>
      </c>
      <c r="D1" s="15" t="s">
        <v>194</v>
      </c>
      <c r="E1" s="16" t="s">
        <v>174</v>
      </c>
      <c r="F1" s="16" t="s">
        <v>175</v>
      </c>
      <c r="G1" s="16" t="s">
        <v>176</v>
      </c>
      <c r="H1" s="16" t="s">
        <v>177</v>
      </c>
      <c r="I1" s="16" t="s">
        <v>178</v>
      </c>
      <c r="J1" s="16" t="s">
        <v>179</v>
      </c>
      <c r="K1" s="16" t="s">
        <v>180</v>
      </c>
      <c r="L1" s="16" t="s">
        <v>181</v>
      </c>
      <c r="M1" s="16" t="s">
        <v>182</v>
      </c>
      <c r="N1" s="16" t="s">
        <v>183</v>
      </c>
      <c r="O1" s="16" t="s">
        <v>184</v>
      </c>
      <c r="P1" s="16" t="s">
        <v>185</v>
      </c>
      <c r="Q1" s="16" t="s">
        <v>186</v>
      </c>
      <c r="R1" s="16" t="s">
        <v>187</v>
      </c>
      <c r="S1" s="16" t="s">
        <v>188</v>
      </c>
      <c r="T1" s="16" t="s">
        <v>189</v>
      </c>
      <c r="U1" s="16" t="s">
        <v>190</v>
      </c>
    </row>
    <row r="2" spans="1:21">
      <c r="A2" s="1" t="s">
        <v>2</v>
      </c>
      <c r="B2" s="1" t="s">
        <v>1</v>
      </c>
      <c r="C2" s="1" t="s">
        <v>195</v>
      </c>
      <c r="D2" s="1" t="s">
        <v>0</v>
      </c>
      <c r="E2" s="2">
        <v>3771</v>
      </c>
      <c r="F2" s="2">
        <v>3977</v>
      </c>
      <c r="G2" s="2">
        <v>-206</v>
      </c>
      <c r="H2" s="2">
        <v>73166</v>
      </c>
      <c r="I2" s="2">
        <v>72926</v>
      </c>
      <c r="J2" s="2">
        <v>240</v>
      </c>
      <c r="K2" s="2">
        <v>76937</v>
      </c>
      <c r="L2" s="2">
        <v>76903</v>
      </c>
      <c r="M2" s="2">
        <v>34</v>
      </c>
      <c r="N2" s="2">
        <v>206</v>
      </c>
      <c r="O2" s="2">
        <v>34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33178</v>
      </c>
    </row>
    <row r="3" spans="1:21">
      <c r="A3" s="1" t="s">
        <v>5</v>
      </c>
      <c r="B3" s="1" t="s">
        <v>4</v>
      </c>
      <c r="C3" s="1" t="s">
        <v>196</v>
      </c>
      <c r="D3" s="1" t="s">
        <v>3</v>
      </c>
      <c r="E3" s="2">
        <v>228</v>
      </c>
      <c r="F3" s="2">
        <v>228</v>
      </c>
      <c r="G3" s="2">
        <v>0</v>
      </c>
      <c r="H3" s="2">
        <v>2283</v>
      </c>
      <c r="I3" s="2">
        <v>2283</v>
      </c>
      <c r="J3" s="2">
        <v>0</v>
      </c>
      <c r="K3" s="2">
        <v>2511</v>
      </c>
      <c r="L3" s="2">
        <v>2511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414</v>
      </c>
    </row>
    <row r="4" spans="1:21">
      <c r="A4" s="1" t="s">
        <v>8</v>
      </c>
      <c r="B4" s="1" t="s">
        <v>7</v>
      </c>
      <c r="C4" s="1" t="s">
        <v>197</v>
      </c>
      <c r="D4" s="1" t="s">
        <v>6</v>
      </c>
      <c r="E4" s="2">
        <v>38</v>
      </c>
      <c r="F4" s="2">
        <v>38</v>
      </c>
      <c r="G4" s="2">
        <v>0</v>
      </c>
      <c r="H4" s="2">
        <v>345</v>
      </c>
      <c r="I4" s="2">
        <v>345</v>
      </c>
      <c r="J4" s="2">
        <v>0</v>
      </c>
      <c r="K4" s="2">
        <v>383</v>
      </c>
      <c r="L4" s="2">
        <v>383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47</v>
      </c>
    </row>
    <row r="5" spans="1:21">
      <c r="A5" s="1" t="s">
        <v>11</v>
      </c>
      <c r="B5" s="1" t="s">
        <v>10</v>
      </c>
      <c r="C5" s="1" t="s">
        <v>198</v>
      </c>
      <c r="D5" s="1" t="s">
        <v>9</v>
      </c>
      <c r="E5" s="2">
        <v>1876</v>
      </c>
      <c r="F5" s="2">
        <v>1877</v>
      </c>
      <c r="G5" s="2">
        <v>-1</v>
      </c>
      <c r="H5" s="2">
        <v>22379</v>
      </c>
      <c r="I5" s="2">
        <v>22377</v>
      </c>
      <c r="J5" s="2">
        <v>2</v>
      </c>
      <c r="K5" s="2">
        <v>24255</v>
      </c>
      <c r="L5" s="2">
        <v>24254</v>
      </c>
      <c r="M5" s="2">
        <v>1</v>
      </c>
      <c r="N5" s="2">
        <v>2</v>
      </c>
      <c r="O5" s="2">
        <v>1</v>
      </c>
      <c r="P5" s="2">
        <v>0</v>
      </c>
      <c r="Q5" s="2">
        <v>1</v>
      </c>
      <c r="R5" s="2">
        <v>0</v>
      </c>
      <c r="S5" s="2">
        <v>0</v>
      </c>
      <c r="T5" s="2">
        <v>0</v>
      </c>
      <c r="U5" s="2">
        <v>1783</v>
      </c>
    </row>
    <row r="6" spans="1:21">
      <c r="A6" s="1" t="s">
        <v>14</v>
      </c>
      <c r="B6" s="1" t="s">
        <v>13</v>
      </c>
      <c r="C6" s="1" t="s">
        <v>199</v>
      </c>
      <c r="D6" s="1" t="s">
        <v>12</v>
      </c>
      <c r="E6" s="2">
        <v>8395</v>
      </c>
      <c r="F6" s="2">
        <v>8475</v>
      </c>
      <c r="G6" s="2">
        <v>-80</v>
      </c>
      <c r="H6" s="2">
        <v>56068</v>
      </c>
      <c r="I6" s="2">
        <v>56025</v>
      </c>
      <c r="J6" s="2">
        <v>43</v>
      </c>
      <c r="K6" s="2">
        <v>64463</v>
      </c>
      <c r="L6" s="2">
        <v>64500</v>
      </c>
      <c r="M6" s="2">
        <v>-37</v>
      </c>
      <c r="N6" s="2">
        <v>82</v>
      </c>
      <c r="O6" s="2">
        <v>0</v>
      </c>
      <c r="P6" s="2">
        <v>1</v>
      </c>
      <c r="Q6" s="2">
        <v>39</v>
      </c>
      <c r="R6" s="2">
        <v>38</v>
      </c>
      <c r="S6" s="2">
        <v>0</v>
      </c>
      <c r="T6" s="2">
        <v>1</v>
      </c>
      <c r="U6" s="2">
        <v>19789</v>
      </c>
    </row>
    <row r="7" spans="1:21">
      <c r="A7" s="1" t="s">
        <v>17</v>
      </c>
      <c r="B7" s="1" t="s">
        <v>16</v>
      </c>
      <c r="C7" s="1" t="s">
        <v>200</v>
      </c>
      <c r="D7" s="1" t="s">
        <v>15</v>
      </c>
      <c r="E7" s="2">
        <v>675</v>
      </c>
      <c r="F7" s="2">
        <v>675</v>
      </c>
      <c r="G7" s="2">
        <v>0</v>
      </c>
      <c r="H7" s="2">
        <v>5588</v>
      </c>
      <c r="I7" s="2">
        <v>5588</v>
      </c>
      <c r="J7" s="2">
        <v>0</v>
      </c>
      <c r="K7" s="2">
        <v>6263</v>
      </c>
      <c r="L7" s="2">
        <v>6263</v>
      </c>
      <c r="M7" s="2">
        <v>0</v>
      </c>
      <c r="N7" s="2">
        <v>1</v>
      </c>
      <c r="O7" s="2">
        <v>0</v>
      </c>
      <c r="P7" s="2">
        <v>0</v>
      </c>
      <c r="Q7" s="2">
        <v>1</v>
      </c>
      <c r="R7" s="2">
        <v>0</v>
      </c>
      <c r="S7" s="2">
        <v>0</v>
      </c>
      <c r="T7" s="2">
        <v>0</v>
      </c>
      <c r="U7" s="2">
        <v>870</v>
      </c>
    </row>
    <row r="8" spans="1:21">
      <c r="A8" s="1" t="s">
        <v>20</v>
      </c>
      <c r="B8" s="1" t="s">
        <v>19</v>
      </c>
      <c r="C8" s="1" t="s">
        <v>201</v>
      </c>
      <c r="D8" s="1" t="s">
        <v>18</v>
      </c>
      <c r="E8" s="2">
        <v>1928</v>
      </c>
      <c r="F8" s="2">
        <v>1968</v>
      </c>
      <c r="G8" s="2">
        <v>-40</v>
      </c>
      <c r="H8" s="2">
        <v>7934</v>
      </c>
      <c r="I8" s="2">
        <v>7899</v>
      </c>
      <c r="J8" s="2">
        <v>35</v>
      </c>
      <c r="K8" s="2">
        <v>9862</v>
      </c>
      <c r="L8" s="2">
        <v>9867</v>
      </c>
      <c r="M8" s="2">
        <v>-5</v>
      </c>
      <c r="N8" s="2">
        <v>40</v>
      </c>
      <c r="O8" s="2">
        <v>0</v>
      </c>
      <c r="P8" s="2">
        <v>0</v>
      </c>
      <c r="Q8" s="2">
        <v>1</v>
      </c>
      <c r="R8" s="2">
        <v>1</v>
      </c>
      <c r="S8" s="2">
        <v>4</v>
      </c>
      <c r="T8" s="2">
        <v>0</v>
      </c>
      <c r="U8" s="2">
        <v>1709</v>
      </c>
    </row>
    <row r="9" spans="1:21">
      <c r="A9" s="1" t="s">
        <v>23</v>
      </c>
      <c r="B9" s="1" t="s">
        <v>22</v>
      </c>
      <c r="C9" s="1" t="s">
        <v>202</v>
      </c>
      <c r="D9" s="1" t="s">
        <v>21</v>
      </c>
      <c r="E9" s="2">
        <v>528</v>
      </c>
      <c r="F9" s="2">
        <v>528</v>
      </c>
      <c r="G9" s="2">
        <v>0</v>
      </c>
      <c r="H9" s="2">
        <v>4446</v>
      </c>
      <c r="I9" s="2">
        <v>4446</v>
      </c>
      <c r="J9" s="2">
        <v>0</v>
      </c>
      <c r="K9" s="2">
        <v>4974</v>
      </c>
      <c r="L9" s="2">
        <v>4974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742</v>
      </c>
    </row>
    <row r="10" spans="1:21">
      <c r="A10" s="1" t="s">
        <v>26</v>
      </c>
      <c r="B10" s="1" t="s">
        <v>25</v>
      </c>
      <c r="C10" s="1" t="s">
        <v>203</v>
      </c>
      <c r="D10" s="1" t="s">
        <v>24</v>
      </c>
      <c r="E10" s="2">
        <v>1010</v>
      </c>
      <c r="F10" s="2">
        <v>1010</v>
      </c>
      <c r="G10" s="2">
        <v>0</v>
      </c>
      <c r="H10" s="2">
        <v>5922</v>
      </c>
      <c r="I10" s="2">
        <v>5922</v>
      </c>
      <c r="J10" s="2">
        <v>0</v>
      </c>
      <c r="K10" s="2">
        <v>6932</v>
      </c>
      <c r="L10" s="2">
        <v>6932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1027</v>
      </c>
    </row>
    <row r="11" spans="1:21">
      <c r="A11" s="1" t="s">
        <v>29</v>
      </c>
      <c r="B11" s="1" t="s">
        <v>28</v>
      </c>
      <c r="C11" s="1" t="s">
        <v>204</v>
      </c>
      <c r="D11" s="1" t="s">
        <v>27</v>
      </c>
      <c r="E11" s="2">
        <v>5125</v>
      </c>
      <c r="F11" s="2">
        <v>5124</v>
      </c>
      <c r="G11" s="2">
        <v>1</v>
      </c>
      <c r="H11" s="2">
        <v>23376</v>
      </c>
      <c r="I11" s="2">
        <v>23377</v>
      </c>
      <c r="J11" s="2">
        <v>-1</v>
      </c>
      <c r="K11" s="2">
        <v>28501</v>
      </c>
      <c r="L11" s="2">
        <v>28501</v>
      </c>
      <c r="M11" s="2">
        <v>0</v>
      </c>
      <c r="N11" s="2">
        <v>0</v>
      </c>
      <c r="O11" s="2">
        <v>0</v>
      </c>
      <c r="P11" s="2">
        <v>0</v>
      </c>
      <c r="Q11" s="2">
        <v>1</v>
      </c>
      <c r="R11" s="2">
        <v>0</v>
      </c>
      <c r="S11" s="2">
        <v>0</v>
      </c>
      <c r="T11" s="2">
        <v>0</v>
      </c>
      <c r="U11" s="2">
        <v>6825</v>
      </c>
    </row>
    <row r="12" spans="1:21">
      <c r="A12" s="1" t="s">
        <v>32</v>
      </c>
      <c r="B12" s="1" t="s">
        <v>31</v>
      </c>
      <c r="C12" s="1" t="s">
        <v>205</v>
      </c>
      <c r="D12" s="1" t="s">
        <v>30</v>
      </c>
      <c r="E12" s="2">
        <v>967</v>
      </c>
      <c r="F12" s="2">
        <v>967</v>
      </c>
      <c r="G12" s="2">
        <v>0</v>
      </c>
      <c r="H12" s="2">
        <v>9797</v>
      </c>
      <c r="I12" s="2">
        <v>9797</v>
      </c>
      <c r="J12" s="2">
        <v>0</v>
      </c>
      <c r="K12" s="2">
        <v>10764</v>
      </c>
      <c r="L12" s="2">
        <v>10764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456</v>
      </c>
    </row>
    <row r="13" spans="1:21">
      <c r="A13" s="1" t="s">
        <v>35</v>
      </c>
      <c r="B13" s="1" t="s">
        <v>34</v>
      </c>
      <c r="C13" s="1" t="s">
        <v>206</v>
      </c>
      <c r="D13" s="1" t="s">
        <v>33</v>
      </c>
      <c r="E13" s="2">
        <v>976</v>
      </c>
      <c r="F13" s="2">
        <v>976</v>
      </c>
      <c r="G13" s="2">
        <v>0</v>
      </c>
      <c r="H13" s="2">
        <v>3295</v>
      </c>
      <c r="I13" s="2">
        <v>3295</v>
      </c>
      <c r="J13" s="2">
        <v>0</v>
      </c>
      <c r="K13" s="2">
        <v>4271</v>
      </c>
      <c r="L13" s="2">
        <v>4271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1554</v>
      </c>
    </row>
    <row r="14" spans="1:21">
      <c r="A14" s="1" t="s">
        <v>38</v>
      </c>
      <c r="B14" s="1" t="s">
        <v>37</v>
      </c>
      <c r="C14" s="1" t="s">
        <v>207</v>
      </c>
      <c r="D14" s="1" t="s">
        <v>36</v>
      </c>
      <c r="E14" s="2">
        <v>42</v>
      </c>
      <c r="F14" s="2">
        <v>42</v>
      </c>
      <c r="G14" s="2">
        <v>0</v>
      </c>
      <c r="H14" s="2">
        <v>888</v>
      </c>
      <c r="I14" s="2">
        <v>888</v>
      </c>
      <c r="J14" s="2">
        <v>0</v>
      </c>
      <c r="K14" s="2">
        <v>930</v>
      </c>
      <c r="L14" s="2">
        <v>930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62</v>
      </c>
    </row>
    <row r="15" spans="1:21">
      <c r="A15" s="1" t="s">
        <v>41</v>
      </c>
      <c r="B15" s="1" t="s">
        <v>40</v>
      </c>
      <c r="C15" s="1" t="s">
        <v>208</v>
      </c>
      <c r="D15" s="1" t="s">
        <v>39</v>
      </c>
      <c r="E15" s="2">
        <v>17241</v>
      </c>
      <c r="F15" s="2">
        <v>17321</v>
      </c>
      <c r="G15" s="2">
        <v>-80</v>
      </c>
      <c r="H15" s="2">
        <v>104224</v>
      </c>
      <c r="I15" s="2">
        <v>104107</v>
      </c>
      <c r="J15" s="2">
        <v>117</v>
      </c>
      <c r="K15" s="2">
        <v>121471</v>
      </c>
      <c r="L15" s="2">
        <v>121434</v>
      </c>
      <c r="M15" s="2">
        <v>37</v>
      </c>
      <c r="N15" s="2">
        <v>88</v>
      </c>
      <c r="O15" s="2">
        <v>37</v>
      </c>
      <c r="P15" s="2">
        <v>1</v>
      </c>
      <c r="Q15" s="2">
        <v>8</v>
      </c>
      <c r="R15" s="2">
        <v>1</v>
      </c>
      <c r="S15" s="2">
        <v>0</v>
      </c>
      <c r="T15" s="2">
        <v>0</v>
      </c>
      <c r="U15" s="2">
        <v>16649</v>
      </c>
    </row>
    <row r="16" spans="1:21">
      <c r="A16" s="1" t="s">
        <v>44</v>
      </c>
      <c r="B16" s="1" t="s">
        <v>43</v>
      </c>
      <c r="C16" s="1" t="s">
        <v>209</v>
      </c>
      <c r="D16" s="1" t="s">
        <v>42</v>
      </c>
      <c r="E16" s="2">
        <v>615</v>
      </c>
      <c r="F16" s="2">
        <v>611</v>
      </c>
      <c r="G16" s="2">
        <v>4</v>
      </c>
      <c r="H16" s="2">
        <v>6721</v>
      </c>
      <c r="I16" s="2">
        <v>6725</v>
      </c>
      <c r="J16" s="2">
        <v>-4</v>
      </c>
      <c r="K16" s="2">
        <v>7336</v>
      </c>
      <c r="L16" s="2">
        <v>7336</v>
      </c>
      <c r="M16" s="2">
        <v>0</v>
      </c>
      <c r="N16" s="2">
        <v>0</v>
      </c>
      <c r="O16" s="2">
        <v>0</v>
      </c>
      <c r="P16" s="2">
        <v>0</v>
      </c>
      <c r="Q16" s="2">
        <v>4</v>
      </c>
      <c r="R16" s="2">
        <v>0</v>
      </c>
      <c r="S16" s="2">
        <v>0</v>
      </c>
      <c r="T16" s="2">
        <v>0</v>
      </c>
      <c r="U16" s="2">
        <v>919</v>
      </c>
    </row>
    <row r="17" spans="1:21">
      <c r="A17" s="1" t="s">
        <v>47</v>
      </c>
      <c r="B17" s="1" t="s">
        <v>46</v>
      </c>
      <c r="C17" s="1" t="s">
        <v>210</v>
      </c>
      <c r="D17" s="1" t="s">
        <v>45</v>
      </c>
      <c r="E17" s="2">
        <v>3671</v>
      </c>
      <c r="F17" s="2">
        <v>3626</v>
      </c>
      <c r="G17" s="2">
        <v>45</v>
      </c>
      <c r="H17" s="2">
        <v>30740</v>
      </c>
      <c r="I17" s="2">
        <v>30016</v>
      </c>
      <c r="J17" s="2">
        <v>724</v>
      </c>
      <c r="K17" s="2">
        <v>34411</v>
      </c>
      <c r="L17" s="2">
        <v>33642</v>
      </c>
      <c r="M17" s="2">
        <v>769</v>
      </c>
      <c r="N17" s="2">
        <v>0</v>
      </c>
      <c r="O17" s="2">
        <v>724</v>
      </c>
      <c r="P17" s="2">
        <v>45</v>
      </c>
      <c r="Q17" s="2">
        <v>0</v>
      </c>
      <c r="R17" s="2">
        <v>0</v>
      </c>
      <c r="S17" s="2">
        <v>0</v>
      </c>
      <c r="T17" s="2">
        <v>6</v>
      </c>
      <c r="U17" s="2">
        <v>5601</v>
      </c>
    </row>
    <row r="18" spans="1:21">
      <c r="A18" s="1" t="s">
        <v>50</v>
      </c>
      <c r="B18" s="1" t="s">
        <v>49</v>
      </c>
      <c r="C18" s="1" t="s">
        <v>211</v>
      </c>
      <c r="D18" s="1" t="s">
        <v>48</v>
      </c>
      <c r="E18" s="2">
        <v>1021</v>
      </c>
      <c r="F18" s="2">
        <v>1021</v>
      </c>
      <c r="G18" s="2">
        <v>0</v>
      </c>
      <c r="H18" s="2">
        <v>18831</v>
      </c>
      <c r="I18" s="2">
        <v>18831</v>
      </c>
      <c r="J18" s="2">
        <v>0</v>
      </c>
      <c r="K18" s="2">
        <v>19852</v>
      </c>
      <c r="L18" s="2">
        <v>19852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941</v>
      </c>
    </row>
    <row r="19" spans="1:21">
      <c r="A19" s="1" t="s">
        <v>53</v>
      </c>
      <c r="B19" s="1" t="s">
        <v>52</v>
      </c>
      <c r="C19" s="1" t="s">
        <v>212</v>
      </c>
      <c r="D19" s="1" t="s">
        <v>51</v>
      </c>
      <c r="E19" s="2">
        <v>2398</v>
      </c>
      <c r="F19" s="2">
        <v>2402</v>
      </c>
      <c r="G19" s="2">
        <v>-4</v>
      </c>
      <c r="H19" s="2">
        <v>22801</v>
      </c>
      <c r="I19" s="2">
        <v>22793</v>
      </c>
      <c r="J19" s="2">
        <v>8</v>
      </c>
      <c r="K19" s="2">
        <v>25199</v>
      </c>
      <c r="L19" s="2">
        <v>25195</v>
      </c>
      <c r="M19" s="2">
        <v>4</v>
      </c>
      <c r="N19" s="2">
        <v>22</v>
      </c>
      <c r="O19" s="2">
        <v>4</v>
      </c>
      <c r="P19" s="2">
        <v>0</v>
      </c>
      <c r="Q19" s="2">
        <v>18</v>
      </c>
      <c r="R19" s="2">
        <v>0</v>
      </c>
      <c r="S19" s="2">
        <v>0</v>
      </c>
      <c r="T19" s="2">
        <v>0</v>
      </c>
      <c r="U19" s="2">
        <v>3011</v>
      </c>
    </row>
    <row r="20" spans="1:21">
      <c r="A20" s="1" t="s">
        <v>56</v>
      </c>
      <c r="B20" s="1" t="s">
        <v>55</v>
      </c>
      <c r="C20" s="1" t="s">
        <v>213</v>
      </c>
      <c r="D20" s="1" t="s">
        <v>54</v>
      </c>
      <c r="E20" s="2">
        <v>2113</v>
      </c>
      <c r="F20" s="2">
        <v>2166</v>
      </c>
      <c r="G20" s="2">
        <v>-53</v>
      </c>
      <c r="H20" s="2">
        <v>26475</v>
      </c>
      <c r="I20" s="2">
        <v>26475</v>
      </c>
      <c r="J20" s="2">
        <v>0</v>
      </c>
      <c r="K20" s="2">
        <v>28588</v>
      </c>
      <c r="L20" s="2">
        <v>28641</v>
      </c>
      <c r="M20" s="2">
        <v>-53</v>
      </c>
      <c r="N20" s="2">
        <v>0</v>
      </c>
      <c r="O20" s="2">
        <v>0</v>
      </c>
      <c r="P20" s="2">
        <v>0</v>
      </c>
      <c r="Q20" s="2">
        <v>0</v>
      </c>
      <c r="R20" s="2">
        <v>53</v>
      </c>
      <c r="S20" s="2">
        <v>0</v>
      </c>
      <c r="T20" s="2">
        <v>0</v>
      </c>
      <c r="U20" s="2">
        <v>11879</v>
      </c>
    </row>
    <row r="21" spans="1:21">
      <c r="A21" s="1" t="s">
        <v>59</v>
      </c>
      <c r="B21" s="1" t="s">
        <v>58</v>
      </c>
      <c r="C21" s="1" t="s">
        <v>214</v>
      </c>
      <c r="D21" s="1" t="s">
        <v>57</v>
      </c>
      <c r="E21" s="2">
        <v>4140</v>
      </c>
      <c r="F21" s="2">
        <v>3754</v>
      </c>
      <c r="G21" s="2">
        <v>386</v>
      </c>
      <c r="H21" s="2">
        <v>10420</v>
      </c>
      <c r="I21" s="2">
        <v>10235</v>
      </c>
      <c r="J21" s="2">
        <v>185</v>
      </c>
      <c r="K21" s="2">
        <v>14560</v>
      </c>
      <c r="L21" s="2">
        <v>13989</v>
      </c>
      <c r="M21" s="2">
        <v>571</v>
      </c>
      <c r="N21" s="2">
        <v>8</v>
      </c>
      <c r="O21" s="2">
        <v>195</v>
      </c>
      <c r="P21" s="2">
        <v>376</v>
      </c>
      <c r="Q21" s="2">
        <v>18</v>
      </c>
      <c r="R21" s="2">
        <v>0</v>
      </c>
      <c r="S21" s="2">
        <v>0</v>
      </c>
      <c r="T21" s="2">
        <v>371</v>
      </c>
      <c r="U21" s="2">
        <v>6799</v>
      </c>
    </row>
    <row r="22" spans="1:21">
      <c r="A22" s="1" t="s">
        <v>62</v>
      </c>
      <c r="B22" s="1" t="s">
        <v>61</v>
      </c>
      <c r="C22" s="1" t="s">
        <v>215</v>
      </c>
      <c r="D22" s="1" t="s">
        <v>60</v>
      </c>
      <c r="E22" s="2">
        <v>9824</v>
      </c>
      <c r="F22" s="2">
        <v>9801</v>
      </c>
      <c r="G22" s="2">
        <v>23</v>
      </c>
      <c r="H22" s="2">
        <v>71847</v>
      </c>
      <c r="I22" s="2">
        <v>71502</v>
      </c>
      <c r="J22" s="2">
        <v>345</v>
      </c>
      <c r="K22" s="2">
        <v>81673</v>
      </c>
      <c r="L22" s="2">
        <v>81305</v>
      </c>
      <c r="M22" s="2">
        <v>368</v>
      </c>
      <c r="N22" s="2">
        <v>10</v>
      </c>
      <c r="O22" s="2">
        <v>335</v>
      </c>
      <c r="P22" s="2">
        <v>33</v>
      </c>
      <c r="Q22" s="2">
        <v>0</v>
      </c>
      <c r="R22" s="2">
        <v>0</v>
      </c>
      <c r="S22" s="2">
        <v>0</v>
      </c>
      <c r="T22" s="2">
        <v>0</v>
      </c>
      <c r="U22" s="2">
        <v>32993</v>
      </c>
    </row>
    <row r="23" spans="1:21">
      <c r="A23" s="1" t="s">
        <v>65</v>
      </c>
      <c r="B23" s="1" t="s">
        <v>64</v>
      </c>
      <c r="C23" s="1" t="s">
        <v>216</v>
      </c>
      <c r="D23" s="1" t="s">
        <v>63</v>
      </c>
      <c r="E23" s="2">
        <v>4279</v>
      </c>
      <c r="F23" s="2">
        <v>4185</v>
      </c>
      <c r="G23" s="2">
        <v>94</v>
      </c>
      <c r="H23" s="2">
        <v>8125</v>
      </c>
      <c r="I23" s="2">
        <v>7788</v>
      </c>
      <c r="J23" s="2">
        <v>337</v>
      </c>
      <c r="K23" s="2">
        <v>12404</v>
      </c>
      <c r="L23" s="2">
        <v>11973</v>
      </c>
      <c r="M23" s="2">
        <v>431</v>
      </c>
      <c r="N23" s="2">
        <v>0</v>
      </c>
      <c r="O23" s="2">
        <v>337</v>
      </c>
      <c r="P23" s="2">
        <v>94</v>
      </c>
      <c r="Q23" s="2">
        <v>0</v>
      </c>
      <c r="R23" s="2">
        <v>0</v>
      </c>
      <c r="S23" s="2">
        <v>0</v>
      </c>
      <c r="T23" s="2">
        <v>94</v>
      </c>
      <c r="U23" s="2">
        <v>4559</v>
      </c>
    </row>
    <row r="24" spans="1:21">
      <c r="A24" s="1" t="s">
        <v>68</v>
      </c>
      <c r="B24" s="1" t="s">
        <v>67</v>
      </c>
      <c r="C24" s="1" t="s">
        <v>217</v>
      </c>
      <c r="D24" s="1" t="s">
        <v>66</v>
      </c>
      <c r="E24" s="2">
        <v>4377</v>
      </c>
      <c r="F24" s="2">
        <v>3778</v>
      </c>
      <c r="G24" s="2">
        <v>599</v>
      </c>
      <c r="H24" s="2">
        <v>13094</v>
      </c>
      <c r="I24" s="2">
        <v>13347</v>
      </c>
      <c r="J24" s="2">
        <v>-253</v>
      </c>
      <c r="K24" s="2">
        <v>17472</v>
      </c>
      <c r="L24" s="2">
        <v>17126</v>
      </c>
      <c r="M24" s="2">
        <v>346</v>
      </c>
      <c r="N24" s="2">
        <v>66</v>
      </c>
      <c r="O24" s="2">
        <v>320</v>
      </c>
      <c r="P24" s="2">
        <v>26</v>
      </c>
      <c r="Q24" s="2">
        <v>639</v>
      </c>
      <c r="R24" s="2">
        <v>0</v>
      </c>
      <c r="S24" s="2">
        <v>0</v>
      </c>
      <c r="T24" s="2">
        <v>26</v>
      </c>
      <c r="U24" s="2">
        <v>9312</v>
      </c>
    </row>
    <row r="25" spans="1:21">
      <c r="A25" s="1" t="s">
        <v>71</v>
      </c>
      <c r="B25" s="1" t="s">
        <v>70</v>
      </c>
      <c r="C25" s="1" t="s">
        <v>218</v>
      </c>
      <c r="D25" s="1" t="s">
        <v>69</v>
      </c>
      <c r="E25" s="2">
        <v>1379</v>
      </c>
      <c r="F25" s="2">
        <v>1358</v>
      </c>
      <c r="G25" s="2">
        <v>21</v>
      </c>
      <c r="H25" s="2">
        <v>11797</v>
      </c>
      <c r="I25" s="2">
        <v>11803</v>
      </c>
      <c r="J25" s="2">
        <v>-6</v>
      </c>
      <c r="K25" s="2">
        <v>13176</v>
      </c>
      <c r="L25" s="2">
        <v>13161</v>
      </c>
      <c r="M25" s="2">
        <v>15</v>
      </c>
      <c r="N25" s="2">
        <v>0</v>
      </c>
      <c r="O25" s="2">
        <v>5</v>
      </c>
      <c r="P25" s="2">
        <v>10</v>
      </c>
      <c r="Q25" s="2">
        <v>11</v>
      </c>
      <c r="R25" s="2">
        <v>0</v>
      </c>
      <c r="S25" s="2">
        <v>0</v>
      </c>
      <c r="T25" s="2">
        <v>0</v>
      </c>
      <c r="U25" s="2">
        <v>784</v>
      </c>
    </row>
    <row r="26" spans="1:21">
      <c r="A26" s="1" t="s">
        <v>74</v>
      </c>
      <c r="B26" s="1" t="s">
        <v>73</v>
      </c>
      <c r="C26" s="1" t="s">
        <v>219</v>
      </c>
      <c r="D26" s="1" t="s">
        <v>72</v>
      </c>
      <c r="E26" s="2">
        <v>1230</v>
      </c>
      <c r="F26" s="2">
        <v>1243</v>
      </c>
      <c r="G26" s="2">
        <v>-13</v>
      </c>
      <c r="H26" s="2">
        <v>13220</v>
      </c>
      <c r="I26" s="2">
        <v>13208</v>
      </c>
      <c r="J26" s="2">
        <v>12</v>
      </c>
      <c r="K26" s="2">
        <v>14450</v>
      </c>
      <c r="L26" s="2">
        <v>14451</v>
      </c>
      <c r="M26" s="2">
        <v>-1</v>
      </c>
      <c r="N26" s="2">
        <v>13</v>
      </c>
      <c r="O26" s="2">
        <v>0</v>
      </c>
      <c r="P26" s="2">
        <v>0</v>
      </c>
      <c r="Q26" s="2">
        <v>0</v>
      </c>
      <c r="R26" s="2">
        <v>0</v>
      </c>
      <c r="S26" s="2">
        <v>1</v>
      </c>
      <c r="T26" s="2">
        <v>0</v>
      </c>
      <c r="U26" s="2">
        <v>1359</v>
      </c>
    </row>
    <row r="27" spans="1:21">
      <c r="A27" s="1" t="s">
        <v>77</v>
      </c>
      <c r="B27" s="1" t="s">
        <v>76</v>
      </c>
      <c r="C27" s="1" t="s">
        <v>220</v>
      </c>
      <c r="D27" s="1" t="s">
        <v>75</v>
      </c>
      <c r="E27" s="2">
        <v>2696</v>
      </c>
      <c r="F27" s="2">
        <v>2696</v>
      </c>
      <c r="G27" s="2">
        <v>0</v>
      </c>
      <c r="H27" s="2">
        <v>33023</v>
      </c>
      <c r="I27" s="2">
        <v>32999</v>
      </c>
      <c r="J27" s="2">
        <v>24</v>
      </c>
      <c r="K27" s="2">
        <v>35719</v>
      </c>
      <c r="L27" s="2">
        <v>35695</v>
      </c>
      <c r="M27" s="2">
        <v>24</v>
      </c>
      <c r="N27" s="2">
        <v>0</v>
      </c>
      <c r="O27" s="2">
        <v>24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2979</v>
      </c>
    </row>
    <row r="28" spans="1:21">
      <c r="A28" s="1" t="s">
        <v>80</v>
      </c>
      <c r="B28" s="1" t="s">
        <v>79</v>
      </c>
      <c r="C28" s="1" t="s">
        <v>221</v>
      </c>
      <c r="D28" s="1" t="s">
        <v>78</v>
      </c>
      <c r="E28" s="2">
        <v>1494</v>
      </c>
      <c r="F28" s="2">
        <v>1488</v>
      </c>
      <c r="G28" s="2">
        <v>6</v>
      </c>
      <c r="H28" s="2">
        <v>24488</v>
      </c>
      <c r="I28" s="2">
        <v>24218</v>
      </c>
      <c r="J28" s="2">
        <v>270</v>
      </c>
      <c r="K28" s="2">
        <v>25982</v>
      </c>
      <c r="L28" s="2">
        <v>25706</v>
      </c>
      <c r="M28" s="2">
        <v>276</v>
      </c>
      <c r="N28" s="2">
        <v>0</v>
      </c>
      <c r="O28" s="2">
        <v>270</v>
      </c>
      <c r="P28" s="2">
        <v>6</v>
      </c>
      <c r="Q28" s="2">
        <v>0</v>
      </c>
      <c r="R28" s="2">
        <v>0</v>
      </c>
      <c r="S28" s="2">
        <v>0</v>
      </c>
      <c r="T28" s="2">
        <v>6</v>
      </c>
      <c r="U28" s="2">
        <v>2679</v>
      </c>
    </row>
    <row r="29" spans="1:21">
      <c r="A29" s="1" t="s">
        <v>83</v>
      </c>
      <c r="B29" s="1" t="s">
        <v>82</v>
      </c>
      <c r="C29" s="1" t="s">
        <v>222</v>
      </c>
      <c r="D29" s="1" t="s">
        <v>81</v>
      </c>
      <c r="E29" s="2">
        <v>3765</v>
      </c>
      <c r="F29" s="2">
        <v>3921</v>
      </c>
      <c r="G29" s="2">
        <v>-156</v>
      </c>
      <c r="H29" s="2">
        <v>25674</v>
      </c>
      <c r="I29" s="2">
        <v>25519</v>
      </c>
      <c r="J29" s="2">
        <v>155</v>
      </c>
      <c r="K29" s="2">
        <v>29439</v>
      </c>
      <c r="L29" s="2">
        <v>29440</v>
      </c>
      <c r="M29" s="2">
        <v>-1</v>
      </c>
      <c r="N29" s="2">
        <v>156</v>
      </c>
      <c r="O29" s="2">
        <v>0</v>
      </c>
      <c r="P29" s="2">
        <v>0</v>
      </c>
      <c r="Q29" s="2">
        <v>0</v>
      </c>
      <c r="R29" s="2">
        <v>0</v>
      </c>
      <c r="S29" s="2">
        <v>1</v>
      </c>
      <c r="T29" s="2">
        <v>0</v>
      </c>
      <c r="U29" s="2">
        <v>4635</v>
      </c>
    </row>
    <row r="30" spans="1:21">
      <c r="A30" s="1" t="s">
        <v>86</v>
      </c>
      <c r="B30" s="1" t="s">
        <v>85</v>
      </c>
      <c r="C30" s="1" t="s">
        <v>223</v>
      </c>
      <c r="D30" s="1" t="s">
        <v>84</v>
      </c>
      <c r="E30" s="2">
        <v>16343</v>
      </c>
      <c r="F30" s="2">
        <v>16204</v>
      </c>
      <c r="G30" s="2">
        <v>139</v>
      </c>
      <c r="H30" s="2">
        <v>74601</v>
      </c>
      <c r="I30" s="2">
        <v>73689</v>
      </c>
      <c r="J30" s="2">
        <v>912</v>
      </c>
      <c r="K30" s="2">
        <v>90949</v>
      </c>
      <c r="L30" s="2">
        <v>89898</v>
      </c>
      <c r="M30" s="2">
        <v>1051</v>
      </c>
      <c r="N30" s="2">
        <v>31</v>
      </c>
      <c r="O30" s="2">
        <v>888</v>
      </c>
      <c r="P30" s="2">
        <v>163</v>
      </c>
      <c r="Q30" s="2">
        <v>7</v>
      </c>
      <c r="R30" s="2">
        <v>0</v>
      </c>
      <c r="S30" s="2">
        <v>0</v>
      </c>
      <c r="T30" s="2">
        <v>114</v>
      </c>
      <c r="U30" s="2">
        <v>18217</v>
      </c>
    </row>
    <row r="31" spans="1:21">
      <c r="A31" s="1" t="s">
        <v>89</v>
      </c>
      <c r="B31" s="1" t="s">
        <v>88</v>
      </c>
      <c r="C31" s="1" t="s">
        <v>224</v>
      </c>
      <c r="D31" s="1" t="s">
        <v>87</v>
      </c>
      <c r="E31" s="2">
        <v>7530</v>
      </c>
      <c r="F31" s="2">
        <v>7405</v>
      </c>
      <c r="G31" s="2">
        <v>125</v>
      </c>
      <c r="H31" s="2">
        <v>54969</v>
      </c>
      <c r="I31" s="2">
        <v>54677</v>
      </c>
      <c r="J31" s="2">
        <v>292</v>
      </c>
      <c r="K31" s="2">
        <v>62499</v>
      </c>
      <c r="L31" s="2">
        <v>62082</v>
      </c>
      <c r="M31" s="2">
        <v>417</v>
      </c>
      <c r="N31" s="2">
        <v>0</v>
      </c>
      <c r="O31" s="2">
        <v>293</v>
      </c>
      <c r="P31" s="2">
        <v>124</v>
      </c>
      <c r="Q31" s="2">
        <v>1</v>
      </c>
      <c r="R31" s="2">
        <v>0</v>
      </c>
      <c r="S31" s="2">
        <v>0</v>
      </c>
      <c r="T31" s="2">
        <v>116</v>
      </c>
      <c r="U31" s="2">
        <v>7554</v>
      </c>
    </row>
    <row r="32" spans="1:21">
      <c r="A32" s="1" t="s">
        <v>92</v>
      </c>
      <c r="B32" s="1" t="s">
        <v>91</v>
      </c>
      <c r="C32" s="1" t="s">
        <v>225</v>
      </c>
      <c r="D32" s="1" t="s">
        <v>90</v>
      </c>
      <c r="E32" s="2">
        <v>2505</v>
      </c>
      <c r="F32" s="2">
        <v>2505</v>
      </c>
      <c r="G32" s="2">
        <v>0</v>
      </c>
      <c r="H32" s="2">
        <v>10424</v>
      </c>
      <c r="I32" s="2">
        <v>10424</v>
      </c>
      <c r="J32" s="2">
        <v>0</v>
      </c>
      <c r="K32" s="2">
        <v>12930</v>
      </c>
      <c r="L32" s="2">
        <v>12930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2261</v>
      </c>
    </row>
    <row r="33" spans="1:21">
      <c r="A33" s="1" t="s">
        <v>95</v>
      </c>
      <c r="B33" s="1" t="s">
        <v>94</v>
      </c>
      <c r="C33" s="1" t="s">
        <v>226</v>
      </c>
      <c r="D33" s="1" t="s">
        <v>93</v>
      </c>
      <c r="E33" s="2">
        <v>377</v>
      </c>
      <c r="F33" s="2">
        <v>377</v>
      </c>
      <c r="G33" s="2">
        <v>0</v>
      </c>
      <c r="H33" s="2">
        <v>2903</v>
      </c>
      <c r="I33" s="2">
        <v>2903</v>
      </c>
      <c r="J33" s="2">
        <v>0</v>
      </c>
      <c r="K33" s="2">
        <v>3280</v>
      </c>
      <c r="L33" s="2">
        <v>3280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345</v>
      </c>
    </row>
    <row r="34" spans="1:21">
      <c r="A34" s="1" t="s">
        <v>98</v>
      </c>
      <c r="B34" s="1" t="s">
        <v>97</v>
      </c>
      <c r="C34" s="1" t="s">
        <v>227</v>
      </c>
      <c r="D34" s="1" t="s">
        <v>96</v>
      </c>
      <c r="E34" s="2">
        <v>790</v>
      </c>
      <c r="F34" s="2">
        <v>790</v>
      </c>
      <c r="G34" s="2">
        <v>0</v>
      </c>
      <c r="H34" s="2">
        <v>3559</v>
      </c>
      <c r="I34" s="2">
        <v>3559</v>
      </c>
      <c r="J34" s="2">
        <v>0</v>
      </c>
      <c r="K34" s="2">
        <v>4349</v>
      </c>
      <c r="L34" s="3">
        <v>4349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  <c r="T34" s="2">
        <v>0</v>
      </c>
      <c r="U34" s="2">
        <v>626</v>
      </c>
    </row>
    <row r="35" spans="1:21">
      <c r="A35" s="1" t="s">
        <v>101</v>
      </c>
      <c r="B35" s="1" t="s">
        <v>100</v>
      </c>
      <c r="C35" s="1" t="s">
        <v>228</v>
      </c>
      <c r="D35" s="1" t="s">
        <v>99</v>
      </c>
      <c r="E35" s="2">
        <v>4241</v>
      </c>
      <c r="F35" s="2">
        <v>4084</v>
      </c>
      <c r="G35" s="2">
        <v>157</v>
      </c>
      <c r="H35" s="2">
        <v>86590</v>
      </c>
      <c r="I35" s="2">
        <v>86623</v>
      </c>
      <c r="J35" s="2">
        <v>-33</v>
      </c>
      <c r="K35" s="2">
        <v>90831</v>
      </c>
      <c r="L35" s="2">
        <v>90707</v>
      </c>
      <c r="M35" s="2">
        <v>124</v>
      </c>
      <c r="N35" s="2">
        <v>1</v>
      </c>
      <c r="O35" s="2">
        <v>0</v>
      </c>
      <c r="P35" s="2">
        <v>124</v>
      </c>
      <c r="Q35" s="2">
        <v>34</v>
      </c>
      <c r="R35" s="2">
        <v>0</v>
      </c>
      <c r="S35" s="2">
        <v>0</v>
      </c>
      <c r="T35" s="2">
        <v>0</v>
      </c>
      <c r="U35" s="2">
        <v>10508</v>
      </c>
    </row>
    <row r="36" spans="1:21">
      <c r="A36" s="1" t="s">
        <v>104</v>
      </c>
      <c r="B36" s="1" t="s">
        <v>103</v>
      </c>
      <c r="C36" s="1" t="s">
        <v>229</v>
      </c>
      <c r="D36" s="1" t="s">
        <v>102</v>
      </c>
      <c r="E36" s="2">
        <v>6225</v>
      </c>
      <c r="F36" s="2">
        <v>6223</v>
      </c>
      <c r="G36" s="2">
        <v>2</v>
      </c>
      <c r="H36" s="2">
        <v>33847</v>
      </c>
      <c r="I36" s="2">
        <v>33850</v>
      </c>
      <c r="J36" s="2">
        <v>-3</v>
      </c>
      <c r="K36" s="2">
        <v>40072</v>
      </c>
      <c r="L36" s="2">
        <v>40073</v>
      </c>
      <c r="M36" s="2">
        <v>-1</v>
      </c>
      <c r="N36" s="2">
        <v>0</v>
      </c>
      <c r="O36" s="2">
        <v>0</v>
      </c>
      <c r="P36" s="2">
        <v>0</v>
      </c>
      <c r="Q36" s="2">
        <v>2</v>
      </c>
      <c r="R36" s="2">
        <v>0</v>
      </c>
      <c r="S36" s="2">
        <v>1</v>
      </c>
      <c r="T36" s="2">
        <v>0</v>
      </c>
      <c r="U36" s="2">
        <v>7125</v>
      </c>
    </row>
    <row r="37" spans="1:21">
      <c r="A37" s="1" t="s">
        <v>107</v>
      </c>
      <c r="B37" s="1" t="s">
        <v>106</v>
      </c>
      <c r="C37" s="1" t="s">
        <v>230</v>
      </c>
      <c r="D37" s="1" t="s">
        <v>105</v>
      </c>
      <c r="E37" s="2">
        <v>140</v>
      </c>
      <c r="F37" s="2">
        <v>122</v>
      </c>
      <c r="G37" s="2">
        <v>18</v>
      </c>
      <c r="H37" s="3">
        <v>2172</v>
      </c>
      <c r="I37" s="2">
        <v>1890</v>
      </c>
      <c r="J37" s="2">
        <v>282</v>
      </c>
      <c r="K37" s="2">
        <v>2312</v>
      </c>
      <c r="L37" s="2">
        <v>2012</v>
      </c>
      <c r="M37" s="2">
        <v>300</v>
      </c>
      <c r="N37" s="2">
        <v>0</v>
      </c>
      <c r="O37" s="2">
        <v>283</v>
      </c>
      <c r="P37" s="2">
        <v>18</v>
      </c>
      <c r="Q37" s="2">
        <v>0</v>
      </c>
      <c r="R37" s="2">
        <v>0</v>
      </c>
      <c r="S37" s="2">
        <v>1</v>
      </c>
      <c r="T37" s="2">
        <v>0</v>
      </c>
      <c r="U37" s="2">
        <v>0</v>
      </c>
    </row>
    <row r="38" spans="1:21">
      <c r="A38" s="1" t="s">
        <v>110</v>
      </c>
      <c r="B38" s="1" t="s">
        <v>109</v>
      </c>
      <c r="C38" s="1" t="s">
        <v>231</v>
      </c>
      <c r="D38" s="1" t="s">
        <v>108</v>
      </c>
      <c r="E38" s="2">
        <v>5399</v>
      </c>
      <c r="F38" s="2">
        <v>5397</v>
      </c>
      <c r="G38" s="2">
        <v>2</v>
      </c>
      <c r="H38" s="2">
        <v>53289</v>
      </c>
      <c r="I38" s="2">
        <v>52615</v>
      </c>
      <c r="J38" s="2">
        <v>674</v>
      </c>
      <c r="K38" s="2">
        <v>58688</v>
      </c>
      <c r="L38" s="2">
        <v>58012</v>
      </c>
      <c r="M38" s="2">
        <v>676</v>
      </c>
      <c r="N38" s="2">
        <v>0</v>
      </c>
      <c r="O38" s="2">
        <v>675</v>
      </c>
      <c r="P38" s="2">
        <v>1</v>
      </c>
      <c r="Q38" s="2">
        <v>1</v>
      </c>
      <c r="R38" s="2">
        <v>0</v>
      </c>
      <c r="S38" s="2">
        <v>0</v>
      </c>
      <c r="T38" s="2">
        <v>0</v>
      </c>
      <c r="U38" s="2">
        <v>6096</v>
      </c>
    </row>
    <row r="39" spans="1:21">
      <c r="A39" s="1" t="s">
        <v>113</v>
      </c>
      <c r="B39" s="1" t="s">
        <v>112</v>
      </c>
      <c r="C39" s="1" t="s">
        <v>232</v>
      </c>
      <c r="D39" s="1" t="s">
        <v>111</v>
      </c>
      <c r="E39" s="2">
        <v>875</v>
      </c>
      <c r="F39" s="2">
        <v>757</v>
      </c>
      <c r="G39" s="2">
        <v>118</v>
      </c>
      <c r="H39" s="2">
        <v>3233</v>
      </c>
      <c r="I39" s="2">
        <v>3028</v>
      </c>
      <c r="J39" s="2">
        <v>205</v>
      </c>
      <c r="K39" s="2">
        <v>4108</v>
      </c>
      <c r="L39" s="2">
        <v>3785</v>
      </c>
      <c r="M39" s="2">
        <v>323</v>
      </c>
      <c r="N39" s="2">
        <v>0</v>
      </c>
      <c r="O39" s="2">
        <v>205</v>
      </c>
      <c r="P39" s="2">
        <v>118</v>
      </c>
      <c r="Q39" s="2">
        <v>0</v>
      </c>
      <c r="R39" s="2">
        <v>0</v>
      </c>
      <c r="S39" s="2">
        <v>0</v>
      </c>
      <c r="T39" s="2">
        <v>84</v>
      </c>
      <c r="U39" s="2">
        <v>878</v>
      </c>
    </row>
    <row r="40" spans="1:21">
      <c r="A40" s="1" t="s">
        <v>116</v>
      </c>
      <c r="B40" s="1" t="s">
        <v>115</v>
      </c>
      <c r="C40" s="1" t="s">
        <v>233</v>
      </c>
      <c r="D40" s="1" t="s">
        <v>114</v>
      </c>
      <c r="E40" s="2">
        <v>681</v>
      </c>
      <c r="F40" s="2">
        <v>681</v>
      </c>
      <c r="G40" s="2">
        <v>0</v>
      </c>
      <c r="H40" s="2">
        <v>18850</v>
      </c>
      <c r="I40" s="2">
        <v>18437</v>
      </c>
      <c r="J40" s="2">
        <v>413</v>
      </c>
      <c r="K40" s="2">
        <v>19531</v>
      </c>
      <c r="L40" s="2">
        <v>19118</v>
      </c>
      <c r="M40" s="2">
        <v>413</v>
      </c>
      <c r="N40" s="2">
        <v>0</v>
      </c>
      <c r="O40" s="2">
        <v>413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520</v>
      </c>
    </row>
    <row r="41" spans="1:21">
      <c r="A41" s="1" t="s">
        <v>119</v>
      </c>
      <c r="B41" s="1" t="s">
        <v>118</v>
      </c>
      <c r="C41" s="1" t="s">
        <v>234</v>
      </c>
      <c r="D41" s="1" t="s">
        <v>117</v>
      </c>
      <c r="E41" s="2">
        <v>3619</v>
      </c>
      <c r="F41" s="2">
        <v>3623</v>
      </c>
      <c r="G41" s="2">
        <v>-4</v>
      </c>
      <c r="H41" s="3">
        <v>67235</v>
      </c>
      <c r="I41" s="2">
        <v>67231</v>
      </c>
      <c r="J41" s="2">
        <v>4</v>
      </c>
      <c r="K41" s="2">
        <v>70854</v>
      </c>
      <c r="L41" s="2">
        <v>70854</v>
      </c>
      <c r="M41" s="2">
        <v>0</v>
      </c>
      <c r="N41" s="2">
        <v>6</v>
      </c>
      <c r="O41" s="2">
        <v>0</v>
      </c>
      <c r="P41" s="2">
        <v>0</v>
      </c>
      <c r="Q41" s="2">
        <v>2</v>
      </c>
      <c r="R41" s="2">
        <v>0</v>
      </c>
      <c r="S41" s="2">
        <v>0</v>
      </c>
      <c r="T41" s="2">
        <v>0</v>
      </c>
      <c r="U41" s="2">
        <v>9145</v>
      </c>
    </row>
    <row r="42" spans="1:21">
      <c r="A42" s="1" t="s">
        <v>122</v>
      </c>
      <c r="B42" s="1" t="s">
        <v>121</v>
      </c>
      <c r="C42" s="1" t="s">
        <v>235</v>
      </c>
      <c r="D42" s="1" t="s">
        <v>120</v>
      </c>
      <c r="E42" s="2">
        <v>818</v>
      </c>
      <c r="F42" s="2">
        <v>818</v>
      </c>
      <c r="G42" s="2">
        <v>0</v>
      </c>
      <c r="H42" s="2">
        <v>4434</v>
      </c>
      <c r="I42" s="2">
        <v>4434</v>
      </c>
      <c r="J42" s="2">
        <v>0</v>
      </c>
      <c r="K42" s="2">
        <v>5252</v>
      </c>
      <c r="L42" s="2">
        <v>5252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>
        <v>0</v>
      </c>
      <c r="U42" s="2">
        <v>441</v>
      </c>
    </row>
    <row r="43" spans="1:21">
      <c r="A43" s="1" t="s">
        <v>125</v>
      </c>
      <c r="B43" s="1" t="s">
        <v>124</v>
      </c>
      <c r="C43" s="1" t="s">
        <v>236</v>
      </c>
      <c r="D43" s="1" t="s">
        <v>123</v>
      </c>
      <c r="E43" s="2">
        <v>475</v>
      </c>
      <c r="F43" s="2">
        <v>485</v>
      </c>
      <c r="G43" s="2">
        <v>-10</v>
      </c>
      <c r="H43" s="2">
        <v>6293</v>
      </c>
      <c r="I43" s="2">
        <v>6283</v>
      </c>
      <c r="J43" s="2">
        <v>10</v>
      </c>
      <c r="K43" s="2">
        <v>6768</v>
      </c>
      <c r="L43" s="2">
        <v>6768</v>
      </c>
      <c r="M43" s="2">
        <v>0</v>
      </c>
      <c r="N43" s="2">
        <v>10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>
        <v>0</v>
      </c>
      <c r="U43" s="2">
        <v>553</v>
      </c>
    </row>
    <row r="44" spans="1:21">
      <c r="A44" s="1" t="s">
        <v>128</v>
      </c>
      <c r="B44" s="1" t="s">
        <v>127</v>
      </c>
      <c r="C44" s="1" t="s">
        <v>237</v>
      </c>
      <c r="D44" s="1" t="s">
        <v>126</v>
      </c>
      <c r="E44" s="2">
        <v>3667</v>
      </c>
      <c r="F44" s="2">
        <v>3665</v>
      </c>
      <c r="G44" s="2">
        <v>2</v>
      </c>
      <c r="H44" s="2">
        <v>30678</v>
      </c>
      <c r="I44" s="2">
        <v>30691</v>
      </c>
      <c r="J44" s="2">
        <v>-13</v>
      </c>
      <c r="K44" s="2">
        <v>34345</v>
      </c>
      <c r="L44" s="2">
        <v>34356</v>
      </c>
      <c r="M44" s="2">
        <v>-11</v>
      </c>
      <c r="N44" s="2">
        <v>0</v>
      </c>
      <c r="O44" s="2">
        <v>0</v>
      </c>
      <c r="P44" s="2">
        <v>2</v>
      </c>
      <c r="Q44" s="2">
        <v>0</v>
      </c>
      <c r="R44" s="2">
        <v>0</v>
      </c>
      <c r="S44" s="2">
        <v>13</v>
      </c>
      <c r="T44" s="2">
        <v>2</v>
      </c>
      <c r="U44" s="2">
        <v>9113</v>
      </c>
    </row>
    <row r="45" spans="1:21">
      <c r="A45" s="1" t="s">
        <v>131</v>
      </c>
      <c r="B45" s="1" t="s">
        <v>130</v>
      </c>
      <c r="C45" s="1" t="s">
        <v>238</v>
      </c>
      <c r="D45" s="1" t="s">
        <v>129</v>
      </c>
      <c r="E45" s="2">
        <v>913</v>
      </c>
      <c r="F45" s="2">
        <v>914</v>
      </c>
      <c r="G45" s="2">
        <v>-1</v>
      </c>
      <c r="H45" s="2">
        <v>4473</v>
      </c>
      <c r="I45" s="2">
        <v>4472</v>
      </c>
      <c r="J45" s="2">
        <v>1</v>
      </c>
      <c r="K45" s="2">
        <v>5386</v>
      </c>
      <c r="L45" s="2">
        <v>5386</v>
      </c>
      <c r="M45" s="2">
        <v>0</v>
      </c>
      <c r="N45" s="2">
        <v>1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816</v>
      </c>
    </row>
    <row r="46" spans="1:21">
      <c r="A46" s="1" t="s">
        <v>134</v>
      </c>
      <c r="B46" s="1" t="s">
        <v>133</v>
      </c>
      <c r="C46" s="1" t="s">
        <v>239</v>
      </c>
      <c r="D46" s="1" t="s">
        <v>132</v>
      </c>
      <c r="E46" s="2">
        <v>4074</v>
      </c>
      <c r="F46" s="2">
        <v>4115</v>
      </c>
      <c r="G46" s="2">
        <v>-41</v>
      </c>
      <c r="H46" s="2">
        <v>20727</v>
      </c>
      <c r="I46" s="2">
        <v>20686</v>
      </c>
      <c r="J46" s="2">
        <v>41</v>
      </c>
      <c r="K46" s="2">
        <v>24801</v>
      </c>
      <c r="L46" s="2">
        <v>24801</v>
      </c>
      <c r="M46" s="2">
        <v>0</v>
      </c>
      <c r="N46" s="2">
        <v>41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5391</v>
      </c>
    </row>
    <row r="47" spans="1:21">
      <c r="A47" s="1" t="s">
        <v>137</v>
      </c>
      <c r="B47" s="1" t="s">
        <v>136</v>
      </c>
      <c r="C47" s="1" t="s">
        <v>240</v>
      </c>
      <c r="D47" s="1" t="s">
        <v>135</v>
      </c>
      <c r="E47" s="2">
        <v>9546</v>
      </c>
      <c r="F47" s="2">
        <v>9632</v>
      </c>
      <c r="G47" s="2">
        <v>-86</v>
      </c>
      <c r="H47" s="2">
        <v>47975</v>
      </c>
      <c r="I47" s="2">
        <v>47889</v>
      </c>
      <c r="J47" s="2">
        <v>86</v>
      </c>
      <c r="K47" s="2">
        <v>57521</v>
      </c>
      <c r="L47" s="2">
        <v>57521</v>
      </c>
      <c r="M47" s="2">
        <v>0</v>
      </c>
      <c r="N47" s="2">
        <v>86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  <c r="T47" s="2">
        <v>0</v>
      </c>
      <c r="U47" s="2">
        <v>21603</v>
      </c>
    </row>
    <row r="48" spans="1:21">
      <c r="A48" s="1" t="s">
        <v>140</v>
      </c>
      <c r="B48" s="1" t="s">
        <v>139</v>
      </c>
      <c r="C48" s="1" t="s">
        <v>241</v>
      </c>
      <c r="D48" s="1" t="s">
        <v>138</v>
      </c>
      <c r="E48" s="2">
        <v>1203</v>
      </c>
      <c r="F48" s="2">
        <v>1213</v>
      </c>
      <c r="G48" s="2">
        <v>-10</v>
      </c>
      <c r="H48" s="2">
        <v>11715</v>
      </c>
      <c r="I48" s="2">
        <v>11705</v>
      </c>
      <c r="J48" s="2">
        <v>10</v>
      </c>
      <c r="K48" s="2">
        <v>12918</v>
      </c>
      <c r="L48" s="2">
        <v>12918</v>
      </c>
      <c r="M48" s="2">
        <v>0</v>
      </c>
      <c r="N48" s="2">
        <v>10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1461</v>
      </c>
    </row>
    <row r="49" spans="1:21">
      <c r="A49" s="1" t="s">
        <v>143</v>
      </c>
      <c r="B49" s="1" t="s">
        <v>142</v>
      </c>
      <c r="C49" s="1" t="s">
        <v>242</v>
      </c>
      <c r="D49" s="1" t="s">
        <v>141</v>
      </c>
      <c r="E49" s="2">
        <v>3404</v>
      </c>
      <c r="F49" s="2">
        <v>3404</v>
      </c>
      <c r="G49" s="2">
        <v>0</v>
      </c>
      <c r="H49" s="2">
        <v>21164</v>
      </c>
      <c r="I49" s="2">
        <v>21164</v>
      </c>
      <c r="J49" s="2">
        <v>0</v>
      </c>
      <c r="K49" s="2">
        <v>24568</v>
      </c>
      <c r="L49" s="2">
        <v>24568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  <c r="T49" s="2">
        <v>0</v>
      </c>
      <c r="U49" s="2">
        <v>4398</v>
      </c>
    </row>
    <row r="50" spans="1:21">
      <c r="A50" s="1" t="s">
        <v>146</v>
      </c>
      <c r="B50" s="1" t="s">
        <v>145</v>
      </c>
      <c r="C50" s="1" t="s">
        <v>243</v>
      </c>
      <c r="D50" s="1" t="s">
        <v>144</v>
      </c>
      <c r="E50" s="2">
        <v>5186</v>
      </c>
      <c r="F50" s="2">
        <v>5163</v>
      </c>
      <c r="G50" s="2">
        <v>23</v>
      </c>
      <c r="H50" s="2">
        <v>18899</v>
      </c>
      <c r="I50" s="2">
        <v>18583</v>
      </c>
      <c r="J50" s="2">
        <v>316</v>
      </c>
      <c r="K50" s="2">
        <v>24085</v>
      </c>
      <c r="L50" s="2">
        <v>23746</v>
      </c>
      <c r="M50" s="2">
        <v>339</v>
      </c>
      <c r="N50" s="2">
        <v>0</v>
      </c>
      <c r="O50" s="2">
        <v>316</v>
      </c>
      <c r="P50" s="2">
        <v>23</v>
      </c>
      <c r="Q50" s="2">
        <v>0</v>
      </c>
      <c r="R50" s="2">
        <v>0</v>
      </c>
      <c r="S50" s="2">
        <v>0</v>
      </c>
      <c r="T50" s="2">
        <v>17</v>
      </c>
      <c r="U50" s="2">
        <v>4490</v>
      </c>
    </row>
    <row r="51" spans="1:21">
      <c r="A51" s="1" t="s">
        <v>149</v>
      </c>
      <c r="B51" s="1" t="s">
        <v>148</v>
      </c>
      <c r="C51" s="1" t="s">
        <v>244</v>
      </c>
      <c r="D51" s="1" t="s">
        <v>147</v>
      </c>
      <c r="E51" s="2">
        <v>2280</v>
      </c>
      <c r="F51" s="2">
        <v>2280</v>
      </c>
      <c r="G51" s="2">
        <v>0</v>
      </c>
      <c r="H51" s="2">
        <v>16802</v>
      </c>
      <c r="I51" s="2">
        <v>16802</v>
      </c>
      <c r="J51" s="2">
        <v>0</v>
      </c>
      <c r="K51" s="2">
        <v>19082</v>
      </c>
      <c r="L51" s="2">
        <v>19082</v>
      </c>
      <c r="M51" s="2">
        <v>0</v>
      </c>
      <c r="N51" s="2">
        <v>0</v>
      </c>
      <c r="O51" s="2">
        <v>0</v>
      </c>
      <c r="P51" s="2">
        <v>1</v>
      </c>
      <c r="Q51" s="2">
        <v>0</v>
      </c>
      <c r="R51" s="2">
        <v>1</v>
      </c>
      <c r="S51" s="2">
        <v>0</v>
      </c>
      <c r="T51" s="2">
        <v>1</v>
      </c>
      <c r="U51" s="2">
        <v>1725</v>
      </c>
    </row>
    <row r="52" spans="1:21">
      <c r="A52" s="1" t="s">
        <v>152</v>
      </c>
      <c r="B52" s="1" t="s">
        <v>151</v>
      </c>
      <c r="C52" s="1" t="s">
        <v>245</v>
      </c>
      <c r="D52" s="1" t="s">
        <v>150</v>
      </c>
      <c r="E52" s="2">
        <v>8009</v>
      </c>
      <c r="F52" s="2">
        <v>8539</v>
      </c>
      <c r="G52" s="2">
        <v>-530</v>
      </c>
      <c r="H52" s="2">
        <v>40389</v>
      </c>
      <c r="I52" s="2">
        <v>40225</v>
      </c>
      <c r="J52" s="2">
        <v>164</v>
      </c>
      <c r="K52" s="2">
        <v>48398</v>
      </c>
      <c r="L52" s="2">
        <v>48764</v>
      </c>
      <c r="M52" s="2">
        <v>-366</v>
      </c>
      <c r="N52" s="2">
        <v>233</v>
      </c>
      <c r="O52" s="2">
        <v>11</v>
      </c>
      <c r="P52" s="2">
        <v>0</v>
      </c>
      <c r="Q52" s="2">
        <v>76</v>
      </c>
      <c r="R52" s="2">
        <v>373</v>
      </c>
      <c r="S52" s="2">
        <v>4</v>
      </c>
      <c r="T52" s="2">
        <v>0</v>
      </c>
      <c r="U52" s="2">
        <v>10166</v>
      </c>
    </row>
    <row r="53" spans="1:21">
      <c r="A53" s="1" t="s">
        <v>155</v>
      </c>
      <c r="B53" s="1" t="s">
        <v>154</v>
      </c>
      <c r="C53" s="1" t="s">
        <v>246</v>
      </c>
      <c r="D53" s="1" t="s">
        <v>153</v>
      </c>
      <c r="E53" s="2">
        <v>612</v>
      </c>
      <c r="F53" s="2">
        <v>612</v>
      </c>
      <c r="G53" s="2">
        <v>0</v>
      </c>
      <c r="H53" s="2">
        <v>19535</v>
      </c>
      <c r="I53" s="2">
        <v>19473</v>
      </c>
      <c r="J53" s="2">
        <v>62</v>
      </c>
      <c r="K53" s="2">
        <v>20147</v>
      </c>
      <c r="L53" s="2">
        <v>20085</v>
      </c>
      <c r="M53" s="2">
        <v>62</v>
      </c>
      <c r="N53" s="2">
        <v>0</v>
      </c>
      <c r="O53" s="2">
        <v>62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4917</v>
      </c>
    </row>
    <row r="54" spans="1:21">
      <c r="A54" s="1" t="s">
        <v>158</v>
      </c>
      <c r="B54" s="1" t="s">
        <v>157</v>
      </c>
      <c r="C54" s="1" t="s">
        <v>247</v>
      </c>
      <c r="D54" s="1" t="s">
        <v>156</v>
      </c>
      <c r="E54" s="2">
        <v>274</v>
      </c>
      <c r="F54" s="2">
        <v>274</v>
      </c>
      <c r="G54" s="2">
        <v>0</v>
      </c>
      <c r="H54" s="2">
        <v>980</v>
      </c>
      <c r="I54" s="2">
        <v>980</v>
      </c>
      <c r="J54" s="2">
        <v>0</v>
      </c>
      <c r="K54" s="2">
        <v>1254</v>
      </c>
      <c r="L54" s="2">
        <v>1254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0</v>
      </c>
      <c r="S54" s="2">
        <v>0</v>
      </c>
      <c r="T54" s="2">
        <v>0</v>
      </c>
      <c r="U54" s="2">
        <v>91</v>
      </c>
    </row>
    <row r="55" spans="1:21">
      <c r="A55" s="1" t="s">
        <v>161</v>
      </c>
      <c r="B55" s="1" t="s">
        <v>160</v>
      </c>
      <c r="C55" s="1" t="s">
        <v>248</v>
      </c>
      <c r="D55" s="1" t="s">
        <v>159</v>
      </c>
      <c r="E55" s="2">
        <v>3957</v>
      </c>
      <c r="F55" s="2">
        <v>3908</v>
      </c>
      <c r="G55" s="2">
        <v>49</v>
      </c>
      <c r="H55" s="2">
        <v>27492</v>
      </c>
      <c r="I55" s="2">
        <v>27541</v>
      </c>
      <c r="J55" s="2">
        <v>-49</v>
      </c>
      <c r="K55" s="2">
        <v>31449</v>
      </c>
      <c r="L55" s="2">
        <v>31449</v>
      </c>
      <c r="M55" s="2">
        <v>0</v>
      </c>
      <c r="N55" s="2">
        <v>3</v>
      </c>
      <c r="O55" s="2">
        <v>0</v>
      </c>
      <c r="P55" s="2">
        <v>0</v>
      </c>
      <c r="Q55" s="2">
        <v>52</v>
      </c>
      <c r="R55" s="2">
        <v>0</v>
      </c>
      <c r="S55" s="2">
        <v>0</v>
      </c>
      <c r="T55" s="2">
        <v>0</v>
      </c>
      <c r="U55" s="2">
        <v>3044</v>
      </c>
    </row>
    <row r="56" spans="1:21">
      <c r="A56" s="1" t="s">
        <v>164</v>
      </c>
      <c r="B56" s="1" t="s">
        <v>163</v>
      </c>
      <c r="C56" s="1" t="s">
        <v>249</v>
      </c>
      <c r="D56" s="1" t="s">
        <v>162</v>
      </c>
      <c r="E56" s="2">
        <v>391</v>
      </c>
      <c r="F56" s="2">
        <v>390</v>
      </c>
      <c r="G56" s="2">
        <v>1</v>
      </c>
      <c r="H56" s="2">
        <v>2911</v>
      </c>
      <c r="I56" s="2">
        <v>2912</v>
      </c>
      <c r="J56" s="2">
        <v>-1</v>
      </c>
      <c r="K56" s="2">
        <v>3302</v>
      </c>
      <c r="L56" s="2">
        <v>3302</v>
      </c>
      <c r="M56" s="2">
        <v>0</v>
      </c>
      <c r="N56" s="2">
        <v>0</v>
      </c>
      <c r="O56" s="2">
        <v>0</v>
      </c>
      <c r="P56" s="2">
        <v>0</v>
      </c>
      <c r="Q56" s="2">
        <v>1</v>
      </c>
      <c r="R56" s="2">
        <v>0</v>
      </c>
      <c r="S56" s="2">
        <v>0</v>
      </c>
      <c r="T56" s="2">
        <v>0</v>
      </c>
      <c r="U56" s="2">
        <v>351</v>
      </c>
    </row>
    <row r="57" spans="1:21">
      <c r="A57" s="1" t="s">
        <v>167</v>
      </c>
      <c r="B57" s="1" t="s">
        <v>166</v>
      </c>
      <c r="C57" s="1" t="s">
        <v>250</v>
      </c>
      <c r="D57" s="1" t="s">
        <v>165</v>
      </c>
      <c r="E57" s="2">
        <v>3979</v>
      </c>
      <c r="F57" s="2">
        <v>3941</v>
      </c>
      <c r="G57" s="2">
        <v>38</v>
      </c>
      <c r="H57" s="2">
        <v>24464</v>
      </c>
      <c r="I57" s="2">
        <v>24028</v>
      </c>
      <c r="J57" s="2">
        <v>436</v>
      </c>
      <c r="K57" s="2">
        <v>28443</v>
      </c>
      <c r="L57" s="2">
        <v>27969</v>
      </c>
      <c r="M57" s="2">
        <v>474</v>
      </c>
      <c r="N57" s="2">
        <v>0</v>
      </c>
      <c r="O57" s="2">
        <v>436</v>
      </c>
      <c r="P57" s="2">
        <v>38</v>
      </c>
      <c r="Q57" s="2">
        <v>0</v>
      </c>
      <c r="R57" s="2">
        <v>0</v>
      </c>
      <c r="S57" s="2">
        <v>0</v>
      </c>
      <c r="T57" s="2">
        <v>0</v>
      </c>
      <c r="U57" s="2">
        <v>4802</v>
      </c>
    </row>
    <row r="58" spans="1:21">
      <c r="A58" s="1" t="s">
        <v>170</v>
      </c>
      <c r="B58" s="1" t="s">
        <v>169</v>
      </c>
      <c r="C58" s="1" t="s">
        <v>251</v>
      </c>
      <c r="D58" s="1" t="s">
        <v>168</v>
      </c>
      <c r="E58" s="2">
        <v>375</v>
      </c>
      <c r="F58" s="2">
        <v>375</v>
      </c>
      <c r="G58" s="2">
        <v>0</v>
      </c>
      <c r="H58" s="2">
        <v>7503</v>
      </c>
      <c r="I58" s="2">
        <v>7503</v>
      </c>
      <c r="J58" s="2">
        <v>0</v>
      </c>
      <c r="K58" s="2">
        <v>7878</v>
      </c>
      <c r="L58" s="2">
        <v>7878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284</v>
      </c>
    </row>
    <row r="59" spans="1:21">
      <c r="A59" s="1" t="s">
        <v>173</v>
      </c>
      <c r="B59" s="1" t="s">
        <v>172</v>
      </c>
      <c r="C59" s="1" t="s">
        <v>252</v>
      </c>
      <c r="D59" s="1" t="s">
        <v>171</v>
      </c>
      <c r="E59" s="2">
        <v>3916</v>
      </c>
      <c r="F59" s="2">
        <v>3917</v>
      </c>
      <c r="G59" s="2">
        <v>-1</v>
      </c>
      <c r="H59" s="2">
        <v>21408</v>
      </c>
      <c r="I59" s="2">
        <v>21407</v>
      </c>
      <c r="J59" s="2">
        <v>1</v>
      </c>
      <c r="K59" s="2">
        <v>25324</v>
      </c>
      <c r="L59" s="2">
        <v>25324</v>
      </c>
      <c r="M59" s="2">
        <v>0</v>
      </c>
      <c r="N59" s="2">
        <v>12</v>
      </c>
      <c r="O59" s="2">
        <v>0</v>
      </c>
      <c r="P59" s="2">
        <v>0</v>
      </c>
      <c r="Q59" s="2">
        <v>11</v>
      </c>
      <c r="R59" s="2">
        <v>0</v>
      </c>
      <c r="S59" s="2">
        <v>0</v>
      </c>
      <c r="T59" s="2">
        <v>0</v>
      </c>
      <c r="U59" s="2">
        <v>5986</v>
      </c>
    </row>
    <row r="60" spans="1:21">
      <c r="E60" s="5"/>
      <c r="F60" s="5"/>
      <c r="H60" s="5"/>
      <c r="I60" s="5"/>
      <c r="K60" s="5"/>
      <c r="L60" s="5"/>
    </row>
    <row r="61" spans="1:21">
      <c r="E61" s="5"/>
      <c r="F61" s="5"/>
      <c r="H61" s="5"/>
      <c r="I61" s="5"/>
      <c r="K61" s="5"/>
      <c r="L61" s="5"/>
    </row>
  </sheetData>
  <autoFilter ref="A1:U59" xr:uid="{00000000-0001-0000-0000-000000000000}"/>
  <phoneticPr fontId="2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56F22-C1E7-423B-B6C5-735C1CD82B53}">
  <sheetPr codeName="Sheet5"/>
  <dimension ref="A1:S14"/>
  <sheetViews>
    <sheetView workbookViewId="0">
      <selection activeCell="F11" sqref="F11"/>
    </sheetView>
  </sheetViews>
  <sheetFormatPr defaultRowHeight="15"/>
  <cols>
    <col min="1" max="2" width="16.28515625" bestFit="1" customWidth="1"/>
    <col min="3" max="3" width="12.85546875" bestFit="1" customWidth="1"/>
    <col min="4" max="4" width="13.140625" bestFit="1" customWidth="1"/>
    <col min="5" max="5" width="10.85546875" bestFit="1" customWidth="1"/>
    <col min="6" max="6" width="15" bestFit="1" customWidth="1"/>
    <col min="7" max="7" width="15.140625" bestFit="1" customWidth="1"/>
    <col min="8" max="8" width="9.85546875" bestFit="1" customWidth="1"/>
    <col min="9" max="9" width="18.140625" bestFit="1" customWidth="1"/>
    <col min="10" max="10" width="18.28515625" bestFit="1" customWidth="1"/>
    <col min="11" max="11" width="12.85546875" bestFit="1" customWidth="1"/>
    <col min="12" max="12" width="12" bestFit="1" customWidth="1"/>
    <col min="13" max="13" width="7.7109375" bestFit="1" customWidth="1"/>
    <col min="14" max="14" width="8.140625" bestFit="1" customWidth="1"/>
    <col min="15" max="15" width="14" bestFit="1" customWidth="1"/>
    <col min="16" max="16" width="12.140625" bestFit="1" customWidth="1"/>
    <col min="17" max="17" width="11.7109375" bestFit="1" customWidth="1"/>
    <col min="18" max="18" width="12" bestFit="1" customWidth="1"/>
    <col min="19" max="19" width="15.85546875" bestFit="1" customWidth="1"/>
  </cols>
  <sheetData>
    <row r="1" spans="1:19">
      <c r="A1" s="9" t="s">
        <v>193</v>
      </c>
      <c r="B1" s="10" t="s">
        <v>194</v>
      </c>
      <c r="C1" s="10" t="s">
        <v>174</v>
      </c>
      <c r="D1" s="10" t="s">
        <v>175</v>
      </c>
      <c r="E1" s="10" t="s">
        <v>176</v>
      </c>
      <c r="F1" s="10" t="s">
        <v>177</v>
      </c>
      <c r="G1" s="10" t="s">
        <v>178</v>
      </c>
      <c r="H1" s="10" t="s">
        <v>179</v>
      </c>
      <c r="I1" s="10" t="s">
        <v>180</v>
      </c>
      <c r="J1" s="10" t="s">
        <v>181</v>
      </c>
      <c r="K1" s="10" t="s">
        <v>182</v>
      </c>
      <c r="L1" s="10" t="s">
        <v>183</v>
      </c>
      <c r="M1" s="10" t="s">
        <v>184</v>
      </c>
      <c r="N1" s="10" t="s">
        <v>185</v>
      </c>
      <c r="O1" s="10" t="s">
        <v>186</v>
      </c>
      <c r="P1" s="10" t="s">
        <v>187</v>
      </c>
      <c r="Q1" s="10" t="s">
        <v>188</v>
      </c>
      <c r="R1" s="10" t="s">
        <v>189</v>
      </c>
      <c r="S1" s="10" t="s">
        <v>190</v>
      </c>
    </row>
    <row r="2" spans="1:19">
      <c r="A2" t="s">
        <v>199</v>
      </c>
      <c r="B2" t="s">
        <v>12</v>
      </c>
      <c r="C2">
        <v>8395</v>
      </c>
      <c r="D2">
        <v>8475</v>
      </c>
      <c r="E2">
        <v>-80</v>
      </c>
      <c r="F2">
        <v>56068</v>
      </c>
      <c r="G2">
        <v>56025</v>
      </c>
      <c r="H2">
        <v>43</v>
      </c>
      <c r="I2">
        <v>64463</v>
      </c>
      <c r="J2">
        <v>64500</v>
      </c>
      <c r="K2">
        <v>-37</v>
      </c>
      <c r="L2">
        <v>82</v>
      </c>
      <c r="M2">
        <v>0</v>
      </c>
      <c r="N2">
        <v>1</v>
      </c>
      <c r="O2">
        <v>39</v>
      </c>
      <c r="P2">
        <v>38</v>
      </c>
      <c r="Q2">
        <v>0</v>
      </c>
      <c r="R2">
        <v>1</v>
      </c>
      <c r="S2">
        <v>19789</v>
      </c>
    </row>
    <row r="3" spans="1:19">
      <c r="A3" t="s">
        <v>202</v>
      </c>
      <c r="B3" t="s">
        <v>12</v>
      </c>
      <c r="C3">
        <v>528</v>
      </c>
      <c r="D3">
        <v>528</v>
      </c>
      <c r="E3">
        <v>0</v>
      </c>
      <c r="F3">
        <v>4446</v>
      </c>
      <c r="G3">
        <v>4446</v>
      </c>
      <c r="H3">
        <v>0</v>
      </c>
      <c r="I3">
        <v>4974</v>
      </c>
      <c r="J3">
        <v>4974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742</v>
      </c>
    </row>
    <row r="4" spans="1:19">
      <c r="A4" t="s">
        <v>203</v>
      </c>
      <c r="B4" t="s">
        <v>12</v>
      </c>
      <c r="C4">
        <v>1010</v>
      </c>
      <c r="D4">
        <v>1010</v>
      </c>
      <c r="E4">
        <v>0</v>
      </c>
      <c r="F4">
        <v>5922</v>
      </c>
      <c r="G4">
        <v>5922</v>
      </c>
      <c r="H4">
        <v>0</v>
      </c>
      <c r="I4">
        <v>6932</v>
      </c>
      <c r="J4">
        <v>6932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1027</v>
      </c>
    </row>
    <row r="5" spans="1:19">
      <c r="A5" t="s">
        <v>205</v>
      </c>
      <c r="B5" t="s">
        <v>12</v>
      </c>
      <c r="C5">
        <v>967</v>
      </c>
      <c r="D5">
        <v>967</v>
      </c>
      <c r="E5">
        <v>0</v>
      </c>
      <c r="F5">
        <v>9797</v>
      </c>
      <c r="G5">
        <v>9797</v>
      </c>
      <c r="H5">
        <v>0</v>
      </c>
      <c r="I5">
        <v>10764</v>
      </c>
      <c r="J5">
        <v>10764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456</v>
      </c>
    </row>
    <row r="6" spans="1:19">
      <c r="A6" t="s">
        <v>209</v>
      </c>
      <c r="B6" s="11" t="s">
        <v>12</v>
      </c>
      <c r="C6">
        <v>615</v>
      </c>
      <c r="D6">
        <v>611</v>
      </c>
      <c r="E6">
        <v>4</v>
      </c>
      <c r="F6">
        <v>6721</v>
      </c>
      <c r="G6">
        <v>6725</v>
      </c>
      <c r="H6">
        <v>-4</v>
      </c>
      <c r="I6">
        <v>7336</v>
      </c>
      <c r="J6">
        <v>7336</v>
      </c>
      <c r="K6">
        <v>0</v>
      </c>
      <c r="L6">
        <v>0</v>
      </c>
      <c r="M6">
        <v>0</v>
      </c>
      <c r="N6">
        <v>0</v>
      </c>
      <c r="O6">
        <v>4</v>
      </c>
      <c r="P6">
        <v>0</v>
      </c>
      <c r="Q6">
        <v>0</v>
      </c>
      <c r="R6">
        <v>0</v>
      </c>
      <c r="S6">
        <v>919</v>
      </c>
    </row>
    <row r="7" spans="1:19">
      <c r="A7" t="s">
        <v>214</v>
      </c>
      <c r="B7" t="s">
        <v>12</v>
      </c>
      <c r="C7">
        <v>4140</v>
      </c>
      <c r="D7">
        <v>3754</v>
      </c>
      <c r="E7">
        <v>386</v>
      </c>
      <c r="F7">
        <v>10420</v>
      </c>
      <c r="G7">
        <v>10235</v>
      </c>
      <c r="H7">
        <v>185</v>
      </c>
      <c r="I7">
        <v>14560</v>
      </c>
      <c r="J7">
        <v>13989</v>
      </c>
      <c r="K7">
        <v>571</v>
      </c>
      <c r="L7">
        <v>8</v>
      </c>
      <c r="M7">
        <v>195</v>
      </c>
      <c r="N7">
        <v>376</v>
      </c>
      <c r="O7">
        <v>18</v>
      </c>
      <c r="P7">
        <v>0</v>
      </c>
      <c r="Q7">
        <v>0</v>
      </c>
      <c r="R7">
        <v>371</v>
      </c>
      <c r="S7">
        <v>6799</v>
      </c>
    </row>
    <row r="8" spans="1:19">
      <c r="A8" t="s">
        <v>222</v>
      </c>
      <c r="B8" t="s">
        <v>12</v>
      </c>
      <c r="C8">
        <v>3765</v>
      </c>
      <c r="D8">
        <v>3921</v>
      </c>
      <c r="E8">
        <v>-156</v>
      </c>
      <c r="F8">
        <v>25674</v>
      </c>
      <c r="G8">
        <v>25519</v>
      </c>
      <c r="H8">
        <v>155</v>
      </c>
      <c r="I8">
        <v>29439</v>
      </c>
      <c r="J8">
        <v>29440</v>
      </c>
      <c r="K8">
        <v>-1</v>
      </c>
      <c r="L8">
        <v>156</v>
      </c>
      <c r="M8">
        <v>0</v>
      </c>
      <c r="N8">
        <v>0</v>
      </c>
      <c r="O8">
        <v>0</v>
      </c>
      <c r="P8">
        <v>0</v>
      </c>
      <c r="Q8">
        <v>1</v>
      </c>
      <c r="R8">
        <v>0</v>
      </c>
      <c r="S8">
        <v>4635</v>
      </c>
    </row>
    <row r="9" spans="1:19">
      <c r="A9" t="s">
        <v>225</v>
      </c>
      <c r="B9" t="s">
        <v>12</v>
      </c>
      <c r="C9">
        <v>2505</v>
      </c>
      <c r="D9">
        <v>2505</v>
      </c>
      <c r="E9">
        <v>0</v>
      </c>
      <c r="F9">
        <v>10424</v>
      </c>
      <c r="G9">
        <v>10424</v>
      </c>
      <c r="H9">
        <v>0</v>
      </c>
      <c r="I9">
        <v>12930</v>
      </c>
      <c r="J9">
        <v>12930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2261</v>
      </c>
    </row>
    <row r="10" spans="1:19">
      <c r="A10" t="s">
        <v>232</v>
      </c>
      <c r="B10" t="s">
        <v>12</v>
      </c>
      <c r="C10">
        <v>875</v>
      </c>
      <c r="D10">
        <v>757</v>
      </c>
      <c r="E10">
        <v>118</v>
      </c>
      <c r="F10">
        <v>3233</v>
      </c>
      <c r="G10">
        <v>3028</v>
      </c>
      <c r="H10">
        <v>205</v>
      </c>
      <c r="I10">
        <v>4108</v>
      </c>
      <c r="J10">
        <v>3785</v>
      </c>
      <c r="K10">
        <v>323</v>
      </c>
      <c r="L10">
        <v>0</v>
      </c>
      <c r="M10">
        <v>205</v>
      </c>
      <c r="N10">
        <v>118</v>
      </c>
      <c r="O10">
        <v>0</v>
      </c>
      <c r="P10">
        <v>0</v>
      </c>
      <c r="Q10">
        <v>0</v>
      </c>
      <c r="R10">
        <v>84</v>
      </c>
      <c r="S10">
        <v>878</v>
      </c>
    </row>
    <row r="11" spans="1:19">
      <c r="A11" t="s">
        <v>236</v>
      </c>
      <c r="B11" t="s">
        <v>12</v>
      </c>
      <c r="C11">
        <v>475</v>
      </c>
      <c r="D11">
        <v>485</v>
      </c>
      <c r="E11">
        <v>-10</v>
      </c>
      <c r="F11">
        <v>6293</v>
      </c>
      <c r="G11">
        <v>6283</v>
      </c>
      <c r="H11">
        <v>10</v>
      </c>
      <c r="I11">
        <v>6768</v>
      </c>
      <c r="J11">
        <v>6768</v>
      </c>
      <c r="K11">
        <v>0</v>
      </c>
      <c r="L11">
        <v>10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553</v>
      </c>
    </row>
    <row r="12" spans="1:19">
      <c r="A12" t="s">
        <v>237</v>
      </c>
      <c r="B12" t="s">
        <v>12</v>
      </c>
      <c r="C12">
        <v>3667</v>
      </c>
      <c r="D12">
        <v>3665</v>
      </c>
      <c r="E12">
        <v>2</v>
      </c>
      <c r="F12">
        <v>30678</v>
      </c>
      <c r="G12">
        <v>30691</v>
      </c>
      <c r="H12">
        <v>-13</v>
      </c>
      <c r="I12">
        <v>34345</v>
      </c>
      <c r="J12">
        <v>34356</v>
      </c>
      <c r="K12">
        <v>-11</v>
      </c>
      <c r="L12">
        <v>0</v>
      </c>
      <c r="M12">
        <v>0</v>
      </c>
      <c r="N12">
        <v>2</v>
      </c>
      <c r="O12">
        <v>0</v>
      </c>
      <c r="P12">
        <v>0</v>
      </c>
      <c r="Q12">
        <v>13</v>
      </c>
      <c r="R12">
        <v>2</v>
      </c>
      <c r="S12">
        <v>9113</v>
      </c>
    </row>
    <row r="13" spans="1:19">
      <c r="A13" t="s">
        <v>245</v>
      </c>
      <c r="B13" t="s">
        <v>12</v>
      </c>
      <c r="C13">
        <v>8009</v>
      </c>
      <c r="D13">
        <v>8539</v>
      </c>
      <c r="E13">
        <v>-530</v>
      </c>
      <c r="F13">
        <v>40389</v>
      </c>
      <c r="G13">
        <v>40225</v>
      </c>
      <c r="H13">
        <v>164</v>
      </c>
      <c r="I13">
        <v>48398</v>
      </c>
      <c r="J13">
        <v>48764</v>
      </c>
      <c r="K13">
        <v>-366</v>
      </c>
      <c r="L13">
        <v>233</v>
      </c>
      <c r="M13">
        <v>11</v>
      </c>
      <c r="N13">
        <v>0</v>
      </c>
      <c r="O13">
        <v>76</v>
      </c>
      <c r="P13">
        <v>373</v>
      </c>
      <c r="Q13">
        <v>4</v>
      </c>
      <c r="R13">
        <v>0</v>
      </c>
      <c r="S13">
        <v>10166</v>
      </c>
    </row>
    <row r="14" spans="1:19">
      <c r="A14" t="s">
        <v>252</v>
      </c>
      <c r="B14" t="s">
        <v>12</v>
      </c>
      <c r="C14">
        <v>3916</v>
      </c>
      <c r="D14">
        <v>3917</v>
      </c>
      <c r="E14">
        <v>-1</v>
      </c>
      <c r="F14">
        <v>21408</v>
      </c>
      <c r="G14">
        <v>21407</v>
      </c>
      <c r="H14">
        <v>1</v>
      </c>
      <c r="I14">
        <v>25324</v>
      </c>
      <c r="J14">
        <v>25324</v>
      </c>
      <c r="K14">
        <v>0</v>
      </c>
      <c r="L14">
        <v>12</v>
      </c>
      <c r="M14">
        <v>0</v>
      </c>
      <c r="N14">
        <v>0</v>
      </c>
      <c r="O14">
        <v>11</v>
      </c>
      <c r="P14">
        <v>0</v>
      </c>
      <c r="Q14">
        <v>0</v>
      </c>
      <c r="R14">
        <v>0</v>
      </c>
      <c r="S14">
        <v>5986</v>
      </c>
    </row>
  </sheetData>
  <conditionalFormatting sqref="C1:S1048576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3E7A0-E634-45A7-A986-A53BB9B994AE}">
  <sheetPr codeName="Sheet6"/>
  <dimension ref="A1:L5"/>
  <sheetViews>
    <sheetView workbookViewId="0">
      <selection activeCell="D6" sqref="D6"/>
    </sheetView>
  </sheetViews>
  <sheetFormatPr defaultRowHeight="15"/>
  <cols>
    <col min="1" max="1" width="18.85546875" bestFit="1" customWidth="1"/>
    <col min="2" max="2" width="17.28515625" bestFit="1" customWidth="1"/>
    <col min="11" max="11" width="14.42578125" bestFit="1" customWidth="1"/>
  </cols>
  <sheetData>
    <row r="1" spans="1:12">
      <c r="A1" s="4" t="s">
        <v>258</v>
      </c>
      <c r="B1" s="12" t="s">
        <v>259</v>
      </c>
      <c r="K1" s="1" t="s">
        <v>0</v>
      </c>
      <c r="L1" s="13" t="s">
        <v>260</v>
      </c>
    </row>
    <row r="2" spans="1:12">
      <c r="A2" s="8" t="s">
        <v>12</v>
      </c>
      <c r="B2" s="8" t="s">
        <v>261</v>
      </c>
      <c r="K2" s="1" t="s">
        <v>3</v>
      </c>
      <c r="L2" s="13" t="s">
        <v>261</v>
      </c>
    </row>
    <row r="3" spans="1:12">
      <c r="K3" s="1" t="s">
        <v>12</v>
      </c>
    </row>
    <row r="4" spans="1:12">
      <c r="K4" s="1" t="s">
        <v>15</v>
      </c>
    </row>
    <row r="5" spans="1:12">
      <c r="K5" s="1" t="s">
        <v>27</v>
      </c>
    </row>
  </sheetData>
  <dataValidations count="2">
    <dataValidation type="list" allowBlank="1" showInputMessage="1" showErrorMessage="1" errorTitle="Region" error="Select a value from drop down" promptTitle="Region" prompt="Select a value from drop down" sqref="A2" xr:uid="{76D41D68-A123-442A-BCDC-6980FEC07D5B}">
      <formula1>$K$1:$K$5</formula1>
    </dataValidation>
    <dataValidation type="list" allowBlank="1" showInputMessage="1" showErrorMessage="1" sqref="B2" xr:uid="{7594D092-3394-4788-A210-6E53381C6DE8}">
      <formula1>$L$1:$L$2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create_report">
                <anchor moveWithCells="1" sizeWithCells="1">
                  <from>
                    <xdr:col>1</xdr:col>
                    <xdr:colOff>1143000</xdr:colOff>
                    <xdr:row>0</xdr:row>
                    <xdr:rowOff>171450</xdr:rowOff>
                  </from>
                  <to>
                    <xdr:col>4</xdr:col>
                    <xdr:colOff>19050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29EC4-F095-49F4-B67B-BD648FBDF53C}">
  <sheetPr codeName="Sheet16"/>
  <dimension ref="A3:AS7"/>
  <sheetViews>
    <sheetView zoomScale="85" zoomScaleNormal="85" workbookViewId="0">
      <selection activeCell="I19" sqref="I19"/>
    </sheetView>
  </sheetViews>
  <sheetFormatPr defaultRowHeight="15"/>
  <cols>
    <col min="1" max="1" width="11.28515625" bestFit="1" customWidth="1"/>
    <col min="2" max="41" width="24.7109375" bestFit="1" customWidth="1"/>
    <col min="42" max="42" width="26" bestFit="1" customWidth="1"/>
    <col min="43" max="43" width="29.85546875" bestFit="1" customWidth="1"/>
    <col min="44" max="44" width="26.28515625" bestFit="1" customWidth="1"/>
    <col min="45" max="45" width="24" bestFit="1" customWidth="1"/>
    <col min="46" max="237" width="21.140625" bestFit="1" customWidth="1"/>
    <col min="238" max="238" width="26" bestFit="1" customWidth="1"/>
    <col min="239" max="239" width="26.28515625" bestFit="1" customWidth="1"/>
    <col min="240" max="240" width="24" bestFit="1" customWidth="1"/>
    <col min="241" max="241" width="16" bestFit="1" customWidth="1"/>
  </cols>
  <sheetData>
    <row r="3" spans="1:45">
      <c r="B3" s="6" t="s">
        <v>193</v>
      </c>
      <c r="C3" s="6" t="s">
        <v>254</v>
      </c>
    </row>
    <row r="4" spans="1:45">
      <c r="B4" t="s">
        <v>204</v>
      </c>
      <c r="F4" t="s">
        <v>208</v>
      </c>
      <c r="J4" t="s">
        <v>210</v>
      </c>
      <c r="N4" t="s">
        <v>224</v>
      </c>
      <c r="R4" t="s">
        <v>228</v>
      </c>
      <c r="V4" t="s">
        <v>231</v>
      </c>
      <c r="Z4" t="s">
        <v>233</v>
      </c>
      <c r="AD4" t="s">
        <v>234</v>
      </c>
      <c r="AH4" t="s">
        <v>244</v>
      </c>
      <c r="AL4" t="s">
        <v>250</v>
      </c>
      <c r="AP4" t="s">
        <v>282</v>
      </c>
      <c r="AQ4" t="s">
        <v>293</v>
      </c>
      <c r="AR4" t="s">
        <v>283</v>
      </c>
      <c r="AS4" t="s">
        <v>284</v>
      </c>
    </row>
    <row r="5" spans="1:45">
      <c r="A5" s="6" t="s">
        <v>194</v>
      </c>
      <c r="B5" t="s">
        <v>281</v>
      </c>
      <c r="C5" t="s">
        <v>294</v>
      </c>
      <c r="D5" t="s">
        <v>257</v>
      </c>
      <c r="E5" t="s">
        <v>262</v>
      </c>
      <c r="F5" t="s">
        <v>281</v>
      </c>
      <c r="G5" t="s">
        <v>294</v>
      </c>
      <c r="H5" t="s">
        <v>257</v>
      </c>
      <c r="I5" t="s">
        <v>262</v>
      </c>
      <c r="J5" t="s">
        <v>281</v>
      </c>
      <c r="K5" t="s">
        <v>294</v>
      </c>
      <c r="L5" t="s">
        <v>257</v>
      </c>
      <c r="M5" t="s">
        <v>262</v>
      </c>
      <c r="N5" t="s">
        <v>281</v>
      </c>
      <c r="O5" t="s">
        <v>294</v>
      </c>
      <c r="P5" t="s">
        <v>257</v>
      </c>
      <c r="Q5" t="s">
        <v>262</v>
      </c>
      <c r="R5" t="s">
        <v>281</v>
      </c>
      <c r="S5" t="s">
        <v>294</v>
      </c>
      <c r="T5" t="s">
        <v>257</v>
      </c>
      <c r="U5" t="s">
        <v>262</v>
      </c>
      <c r="V5" t="s">
        <v>281</v>
      </c>
      <c r="W5" t="s">
        <v>294</v>
      </c>
      <c r="X5" t="s">
        <v>257</v>
      </c>
      <c r="Y5" t="s">
        <v>262</v>
      </c>
      <c r="Z5" t="s">
        <v>281</v>
      </c>
      <c r="AA5" t="s">
        <v>294</v>
      </c>
      <c r="AB5" t="s">
        <v>257</v>
      </c>
      <c r="AC5" t="s">
        <v>262</v>
      </c>
      <c r="AD5" t="s">
        <v>281</v>
      </c>
      <c r="AE5" t="s">
        <v>294</v>
      </c>
      <c r="AF5" t="s">
        <v>257</v>
      </c>
      <c r="AG5" t="s">
        <v>262</v>
      </c>
      <c r="AH5" t="s">
        <v>281</v>
      </c>
      <c r="AI5" t="s">
        <v>294</v>
      </c>
      <c r="AJ5" t="s">
        <v>257</v>
      </c>
      <c r="AK5" t="s">
        <v>262</v>
      </c>
      <c r="AL5" t="s">
        <v>281</v>
      </c>
      <c r="AM5" t="s">
        <v>294</v>
      </c>
      <c r="AN5" t="s">
        <v>257</v>
      </c>
      <c r="AO5" t="s">
        <v>262</v>
      </c>
    </row>
    <row r="6" spans="1:45">
      <c r="A6" t="s">
        <v>27</v>
      </c>
      <c r="B6" s="7">
        <v>5125</v>
      </c>
      <c r="C6" s="7">
        <v>6825</v>
      </c>
      <c r="D6" s="7">
        <v>5124</v>
      </c>
      <c r="E6" s="7">
        <v>1</v>
      </c>
      <c r="F6" s="7">
        <v>17241</v>
      </c>
      <c r="G6" s="7">
        <v>16649</v>
      </c>
      <c r="H6" s="7">
        <v>17321</v>
      </c>
      <c r="I6" s="7">
        <v>-80</v>
      </c>
      <c r="J6" s="7">
        <v>3671</v>
      </c>
      <c r="K6" s="7">
        <v>5601</v>
      </c>
      <c r="L6" s="7">
        <v>3626</v>
      </c>
      <c r="M6" s="7">
        <v>45</v>
      </c>
      <c r="N6" s="7">
        <v>7530</v>
      </c>
      <c r="O6" s="7">
        <v>7554</v>
      </c>
      <c r="P6" s="7">
        <v>7405</v>
      </c>
      <c r="Q6" s="7">
        <v>125</v>
      </c>
      <c r="R6" s="7">
        <v>4241</v>
      </c>
      <c r="S6" s="7">
        <v>10508</v>
      </c>
      <c r="T6" s="7">
        <v>4084</v>
      </c>
      <c r="U6" s="7">
        <v>157</v>
      </c>
      <c r="V6" s="7">
        <v>5399</v>
      </c>
      <c r="W6" s="7">
        <v>6096</v>
      </c>
      <c r="X6" s="7">
        <v>5397</v>
      </c>
      <c r="Y6" s="7">
        <v>2</v>
      </c>
      <c r="Z6" s="7">
        <v>681</v>
      </c>
      <c r="AA6" s="7">
        <v>520</v>
      </c>
      <c r="AB6" s="7">
        <v>681</v>
      </c>
      <c r="AC6" s="7">
        <v>0</v>
      </c>
      <c r="AD6" s="7">
        <v>3619</v>
      </c>
      <c r="AE6" s="7">
        <v>9145</v>
      </c>
      <c r="AF6" s="7">
        <v>3623</v>
      </c>
      <c r="AG6" s="7">
        <v>-4</v>
      </c>
      <c r="AH6" s="7">
        <v>2280</v>
      </c>
      <c r="AI6" s="7">
        <v>1725</v>
      </c>
      <c r="AJ6" s="7">
        <v>2280</v>
      </c>
      <c r="AK6" s="7">
        <v>0</v>
      </c>
      <c r="AL6" s="7">
        <v>3979</v>
      </c>
      <c r="AM6" s="7">
        <v>4802</v>
      </c>
      <c r="AN6" s="7">
        <v>3941</v>
      </c>
      <c r="AO6" s="7">
        <v>38</v>
      </c>
      <c r="AP6" s="7">
        <v>53766</v>
      </c>
      <c r="AQ6" s="7">
        <v>69425</v>
      </c>
      <c r="AR6" s="7">
        <v>53482</v>
      </c>
      <c r="AS6" s="7">
        <v>284</v>
      </c>
    </row>
    <row r="7" spans="1:45">
      <c r="A7" t="s">
        <v>253</v>
      </c>
      <c r="B7" s="7">
        <v>5125</v>
      </c>
      <c r="C7" s="7">
        <v>6825</v>
      </c>
      <c r="D7" s="7">
        <v>5124</v>
      </c>
      <c r="E7" s="7">
        <v>1</v>
      </c>
      <c r="F7" s="7">
        <v>17241</v>
      </c>
      <c r="G7" s="7">
        <v>16649</v>
      </c>
      <c r="H7" s="7">
        <v>17321</v>
      </c>
      <c r="I7" s="7">
        <v>-80</v>
      </c>
      <c r="J7" s="7">
        <v>3671</v>
      </c>
      <c r="K7" s="7">
        <v>5601</v>
      </c>
      <c r="L7" s="7">
        <v>3626</v>
      </c>
      <c r="M7" s="7">
        <v>45</v>
      </c>
      <c r="N7" s="7">
        <v>7530</v>
      </c>
      <c r="O7" s="7">
        <v>7554</v>
      </c>
      <c r="P7" s="7">
        <v>7405</v>
      </c>
      <c r="Q7" s="7">
        <v>125</v>
      </c>
      <c r="R7" s="7">
        <v>4241</v>
      </c>
      <c r="S7" s="7">
        <v>10508</v>
      </c>
      <c r="T7" s="7">
        <v>4084</v>
      </c>
      <c r="U7" s="7">
        <v>157</v>
      </c>
      <c r="V7" s="7">
        <v>5399</v>
      </c>
      <c r="W7" s="7">
        <v>6096</v>
      </c>
      <c r="X7" s="7">
        <v>5397</v>
      </c>
      <c r="Y7" s="7">
        <v>2</v>
      </c>
      <c r="Z7" s="7">
        <v>681</v>
      </c>
      <c r="AA7" s="7">
        <v>520</v>
      </c>
      <c r="AB7" s="7">
        <v>681</v>
      </c>
      <c r="AC7" s="7">
        <v>0</v>
      </c>
      <c r="AD7" s="7">
        <v>3619</v>
      </c>
      <c r="AE7" s="7">
        <v>9145</v>
      </c>
      <c r="AF7" s="7">
        <v>3623</v>
      </c>
      <c r="AG7" s="7">
        <v>-4</v>
      </c>
      <c r="AH7" s="7">
        <v>2280</v>
      </c>
      <c r="AI7" s="7">
        <v>1725</v>
      </c>
      <c r="AJ7" s="7">
        <v>2280</v>
      </c>
      <c r="AK7" s="7">
        <v>0</v>
      </c>
      <c r="AL7" s="7">
        <v>3979</v>
      </c>
      <c r="AM7" s="7">
        <v>4802</v>
      </c>
      <c r="AN7" s="7">
        <v>3941</v>
      </c>
      <c r="AO7" s="7">
        <v>38</v>
      </c>
      <c r="AP7" s="7">
        <v>53766</v>
      </c>
      <c r="AQ7" s="7">
        <v>69425</v>
      </c>
      <c r="AR7" s="7">
        <v>53482</v>
      </c>
      <c r="AS7" s="7">
        <v>284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07DF3-0558-431F-A623-D9B724B9909F}">
  <sheetPr codeName="Sheet17"/>
  <dimension ref="A3:BE7"/>
  <sheetViews>
    <sheetView topLeftCell="A4" workbookViewId="0">
      <selection activeCell="G14" sqref="G14"/>
    </sheetView>
  </sheetViews>
  <sheetFormatPr defaultRowHeight="15"/>
  <cols>
    <col min="1" max="1" width="11.28515625" bestFit="1" customWidth="1"/>
    <col min="2" max="53" width="24.7109375" bestFit="1" customWidth="1"/>
    <col min="54" max="54" width="28.28515625" bestFit="1" customWidth="1"/>
    <col min="55" max="55" width="28.5703125" bestFit="1" customWidth="1"/>
    <col min="56" max="56" width="22.5703125" bestFit="1" customWidth="1"/>
    <col min="57" max="57" width="29.85546875" bestFit="1" customWidth="1"/>
    <col min="58" max="233" width="23.5703125" bestFit="1" customWidth="1"/>
    <col min="234" max="234" width="28.28515625" bestFit="1" customWidth="1"/>
    <col min="235" max="235" width="28.5703125" bestFit="1" customWidth="1"/>
    <col min="236" max="236" width="22.5703125" bestFit="1" customWidth="1"/>
    <col min="237" max="237" width="15.7109375" bestFit="1" customWidth="1"/>
  </cols>
  <sheetData>
    <row r="3" spans="1:57">
      <c r="B3" s="6" t="s">
        <v>193</v>
      </c>
      <c r="C3" s="6" t="s">
        <v>254</v>
      </c>
    </row>
    <row r="4" spans="1:57">
      <c r="B4" t="s">
        <v>205</v>
      </c>
      <c r="F4" t="s">
        <v>209</v>
      </c>
      <c r="J4" t="s">
        <v>214</v>
      </c>
      <c r="N4" t="s">
        <v>222</v>
      </c>
      <c r="R4" t="s">
        <v>225</v>
      </c>
      <c r="V4" t="s">
        <v>232</v>
      </c>
      <c r="Z4" t="s">
        <v>236</v>
      </c>
      <c r="AD4" t="s">
        <v>237</v>
      </c>
      <c r="AH4" t="s">
        <v>199</v>
      </c>
      <c r="AL4" t="s">
        <v>245</v>
      </c>
      <c r="AP4" t="s">
        <v>252</v>
      </c>
      <c r="AT4" t="s">
        <v>202</v>
      </c>
      <c r="AX4" t="s">
        <v>203</v>
      </c>
      <c r="BB4" t="s">
        <v>285</v>
      </c>
      <c r="BC4" t="s">
        <v>286</v>
      </c>
      <c r="BD4" t="s">
        <v>288</v>
      </c>
      <c r="BE4" t="s">
        <v>293</v>
      </c>
    </row>
    <row r="5" spans="1:57">
      <c r="A5" s="6" t="s">
        <v>194</v>
      </c>
      <c r="B5" t="s">
        <v>255</v>
      </c>
      <c r="C5" t="s">
        <v>287</v>
      </c>
      <c r="D5" t="s">
        <v>263</v>
      </c>
      <c r="E5" t="s">
        <v>294</v>
      </c>
      <c r="F5" t="s">
        <v>255</v>
      </c>
      <c r="G5" t="s">
        <v>287</v>
      </c>
      <c r="H5" t="s">
        <v>263</v>
      </c>
      <c r="I5" t="s">
        <v>294</v>
      </c>
      <c r="J5" t="s">
        <v>255</v>
      </c>
      <c r="K5" t="s">
        <v>287</v>
      </c>
      <c r="L5" t="s">
        <v>263</v>
      </c>
      <c r="M5" t="s">
        <v>294</v>
      </c>
      <c r="N5" t="s">
        <v>255</v>
      </c>
      <c r="O5" t="s">
        <v>287</v>
      </c>
      <c r="P5" t="s">
        <v>263</v>
      </c>
      <c r="Q5" t="s">
        <v>294</v>
      </c>
      <c r="R5" t="s">
        <v>255</v>
      </c>
      <c r="S5" t="s">
        <v>287</v>
      </c>
      <c r="T5" t="s">
        <v>263</v>
      </c>
      <c r="U5" t="s">
        <v>294</v>
      </c>
      <c r="V5" t="s">
        <v>255</v>
      </c>
      <c r="W5" t="s">
        <v>287</v>
      </c>
      <c r="X5" t="s">
        <v>263</v>
      </c>
      <c r="Y5" t="s">
        <v>294</v>
      </c>
      <c r="Z5" t="s">
        <v>255</v>
      </c>
      <c r="AA5" t="s">
        <v>287</v>
      </c>
      <c r="AB5" t="s">
        <v>263</v>
      </c>
      <c r="AC5" t="s">
        <v>294</v>
      </c>
      <c r="AD5" t="s">
        <v>255</v>
      </c>
      <c r="AE5" t="s">
        <v>287</v>
      </c>
      <c r="AF5" t="s">
        <v>263</v>
      </c>
      <c r="AG5" t="s">
        <v>294</v>
      </c>
      <c r="AH5" t="s">
        <v>255</v>
      </c>
      <c r="AI5" t="s">
        <v>287</v>
      </c>
      <c r="AJ5" t="s">
        <v>263</v>
      </c>
      <c r="AK5" t="s">
        <v>294</v>
      </c>
      <c r="AL5" t="s">
        <v>255</v>
      </c>
      <c r="AM5" t="s">
        <v>287</v>
      </c>
      <c r="AN5" t="s">
        <v>263</v>
      </c>
      <c r="AO5" t="s">
        <v>294</v>
      </c>
      <c r="AP5" t="s">
        <v>255</v>
      </c>
      <c r="AQ5" t="s">
        <v>287</v>
      </c>
      <c r="AR5" t="s">
        <v>263</v>
      </c>
      <c r="AS5" t="s">
        <v>294</v>
      </c>
      <c r="AT5" t="s">
        <v>255</v>
      </c>
      <c r="AU5" t="s">
        <v>287</v>
      </c>
      <c r="AV5" t="s">
        <v>263</v>
      </c>
      <c r="AW5" t="s">
        <v>294</v>
      </c>
      <c r="AX5" t="s">
        <v>255</v>
      </c>
      <c r="AY5" t="s">
        <v>287</v>
      </c>
      <c r="AZ5" t="s">
        <v>263</v>
      </c>
      <c r="BA5" t="s">
        <v>294</v>
      </c>
    </row>
    <row r="6" spans="1:57">
      <c r="A6" t="s">
        <v>12</v>
      </c>
      <c r="B6" s="7">
        <v>9797</v>
      </c>
      <c r="C6" s="7">
        <v>9797</v>
      </c>
      <c r="D6" s="7">
        <v>0</v>
      </c>
      <c r="E6" s="7">
        <v>456</v>
      </c>
      <c r="F6" s="7">
        <v>6721</v>
      </c>
      <c r="G6" s="7">
        <v>6725</v>
      </c>
      <c r="H6" s="7">
        <v>-4</v>
      </c>
      <c r="I6" s="7">
        <v>919</v>
      </c>
      <c r="J6" s="7">
        <v>10420</v>
      </c>
      <c r="K6" s="7">
        <v>10235</v>
      </c>
      <c r="L6" s="7">
        <v>185</v>
      </c>
      <c r="M6" s="7">
        <v>6799</v>
      </c>
      <c r="N6" s="7">
        <v>25674</v>
      </c>
      <c r="O6" s="7">
        <v>25519</v>
      </c>
      <c r="P6" s="7">
        <v>155</v>
      </c>
      <c r="Q6" s="7">
        <v>4635</v>
      </c>
      <c r="R6" s="7">
        <v>10424</v>
      </c>
      <c r="S6" s="7">
        <v>10424</v>
      </c>
      <c r="T6" s="7">
        <v>0</v>
      </c>
      <c r="U6" s="7">
        <v>2261</v>
      </c>
      <c r="V6" s="7">
        <v>3233</v>
      </c>
      <c r="W6" s="7">
        <v>3028</v>
      </c>
      <c r="X6" s="7">
        <v>205</v>
      </c>
      <c r="Y6" s="7">
        <v>878</v>
      </c>
      <c r="Z6" s="7">
        <v>6293</v>
      </c>
      <c r="AA6" s="7">
        <v>6283</v>
      </c>
      <c r="AB6" s="7">
        <v>10</v>
      </c>
      <c r="AC6" s="7">
        <v>553</v>
      </c>
      <c r="AD6" s="7">
        <v>30678</v>
      </c>
      <c r="AE6" s="7">
        <v>30691</v>
      </c>
      <c r="AF6" s="7">
        <v>-13</v>
      </c>
      <c r="AG6" s="7">
        <v>9113</v>
      </c>
      <c r="AH6" s="7">
        <v>56068</v>
      </c>
      <c r="AI6" s="7">
        <v>56025</v>
      </c>
      <c r="AJ6" s="7">
        <v>43</v>
      </c>
      <c r="AK6" s="7">
        <v>19789</v>
      </c>
      <c r="AL6" s="7">
        <v>40389</v>
      </c>
      <c r="AM6" s="7">
        <v>40225</v>
      </c>
      <c r="AN6" s="7">
        <v>164</v>
      </c>
      <c r="AO6" s="7">
        <v>10166</v>
      </c>
      <c r="AP6" s="7">
        <v>21408</v>
      </c>
      <c r="AQ6" s="7">
        <v>21407</v>
      </c>
      <c r="AR6" s="7">
        <v>1</v>
      </c>
      <c r="AS6" s="7">
        <v>5986</v>
      </c>
      <c r="AT6" s="7">
        <v>4446</v>
      </c>
      <c r="AU6" s="7">
        <v>4446</v>
      </c>
      <c r="AV6" s="7">
        <v>0</v>
      </c>
      <c r="AW6" s="7">
        <v>742</v>
      </c>
      <c r="AX6" s="7">
        <v>5922</v>
      </c>
      <c r="AY6" s="7">
        <v>5922</v>
      </c>
      <c r="AZ6" s="7">
        <v>0</v>
      </c>
      <c r="BA6" s="7">
        <v>1027</v>
      </c>
      <c r="BB6" s="7">
        <v>231473</v>
      </c>
      <c r="BC6" s="7">
        <v>230727</v>
      </c>
      <c r="BD6" s="7">
        <v>746</v>
      </c>
      <c r="BE6" s="7">
        <v>63324</v>
      </c>
    </row>
    <row r="7" spans="1:57">
      <c r="A7" t="s">
        <v>253</v>
      </c>
      <c r="B7" s="7">
        <v>9797</v>
      </c>
      <c r="C7" s="7">
        <v>9797</v>
      </c>
      <c r="D7" s="7">
        <v>0</v>
      </c>
      <c r="E7" s="7">
        <v>456</v>
      </c>
      <c r="F7" s="7">
        <v>6721</v>
      </c>
      <c r="G7" s="7">
        <v>6725</v>
      </c>
      <c r="H7" s="7">
        <v>-4</v>
      </c>
      <c r="I7" s="7">
        <v>919</v>
      </c>
      <c r="J7" s="7">
        <v>10420</v>
      </c>
      <c r="K7" s="7">
        <v>10235</v>
      </c>
      <c r="L7" s="7">
        <v>185</v>
      </c>
      <c r="M7" s="7">
        <v>6799</v>
      </c>
      <c r="N7" s="7">
        <v>25674</v>
      </c>
      <c r="O7" s="7">
        <v>25519</v>
      </c>
      <c r="P7" s="7">
        <v>155</v>
      </c>
      <c r="Q7" s="7">
        <v>4635</v>
      </c>
      <c r="R7" s="7">
        <v>10424</v>
      </c>
      <c r="S7" s="7">
        <v>10424</v>
      </c>
      <c r="T7" s="7">
        <v>0</v>
      </c>
      <c r="U7" s="7">
        <v>2261</v>
      </c>
      <c r="V7" s="7">
        <v>3233</v>
      </c>
      <c r="W7" s="7">
        <v>3028</v>
      </c>
      <c r="X7" s="7">
        <v>205</v>
      </c>
      <c r="Y7" s="7">
        <v>878</v>
      </c>
      <c r="Z7" s="7">
        <v>6293</v>
      </c>
      <c r="AA7" s="7">
        <v>6283</v>
      </c>
      <c r="AB7" s="7">
        <v>10</v>
      </c>
      <c r="AC7" s="7">
        <v>553</v>
      </c>
      <c r="AD7" s="7">
        <v>30678</v>
      </c>
      <c r="AE7" s="7">
        <v>30691</v>
      </c>
      <c r="AF7" s="7">
        <v>-13</v>
      </c>
      <c r="AG7" s="7">
        <v>9113</v>
      </c>
      <c r="AH7" s="7">
        <v>56068</v>
      </c>
      <c r="AI7" s="7">
        <v>56025</v>
      </c>
      <c r="AJ7" s="7">
        <v>43</v>
      </c>
      <c r="AK7" s="7">
        <v>19789</v>
      </c>
      <c r="AL7" s="7">
        <v>40389</v>
      </c>
      <c r="AM7" s="7">
        <v>40225</v>
      </c>
      <c r="AN7" s="7">
        <v>164</v>
      </c>
      <c r="AO7" s="7">
        <v>10166</v>
      </c>
      <c r="AP7" s="7">
        <v>21408</v>
      </c>
      <c r="AQ7" s="7">
        <v>21407</v>
      </c>
      <c r="AR7" s="7">
        <v>1</v>
      </c>
      <c r="AS7" s="7">
        <v>5986</v>
      </c>
      <c r="AT7" s="7">
        <v>4446</v>
      </c>
      <c r="AU7" s="7">
        <v>4446</v>
      </c>
      <c r="AV7" s="7">
        <v>0</v>
      </c>
      <c r="AW7" s="7">
        <v>742</v>
      </c>
      <c r="AX7" s="7">
        <v>5922</v>
      </c>
      <c r="AY7" s="7">
        <v>5922</v>
      </c>
      <c r="AZ7" s="7">
        <v>0</v>
      </c>
      <c r="BA7" s="7">
        <v>1027</v>
      </c>
      <c r="BB7" s="7">
        <v>231473</v>
      </c>
      <c r="BC7" s="7">
        <v>230727</v>
      </c>
      <c r="BD7" s="7">
        <v>746</v>
      </c>
      <c r="BE7" s="7">
        <v>63324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55075-8999-4052-B70D-27129F96AD1C}">
  <sheetPr codeName="Sheet18"/>
  <dimension ref="A3:AS7"/>
  <sheetViews>
    <sheetView topLeftCell="A7" workbookViewId="0">
      <selection activeCell="G9" sqref="G9"/>
    </sheetView>
  </sheetViews>
  <sheetFormatPr defaultRowHeight="15"/>
  <cols>
    <col min="1" max="1" width="11.28515625" bestFit="1" customWidth="1"/>
    <col min="2" max="41" width="26.7109375" bestFit="1" customWidth="1"/>
    <col min="42" max="42" width="31.42578125" bestFit="1" customWidth="1"/>
    <col min="43" max="43" width="29.85546875" bestFit="1" customWidth="1"/>
    <col min="44" max="44" width="31.7109375" bestFit="1" customWidth="1"/>
    <col min="45" max="45" width="25.7109375" bestFit="1" customWidth="1"/>
    <col min="46" max="53" width="26.7109375" bestFit="1" customWidth="1"/>
    <col min="54" max="54" width="31.42578125" bestFit="1" customWidth="1"/>
    <col min="55" max="55" width="29.85546875" bestFit="1" customWidth="1"/>
    <col min="56" max="56" width="31.7109375" bestFit="1" customWidth="1"/>
    <col min="57" max="57" width="25.7109375" bestFit="1" customWidth="1"/>
    <col min="58" max="233" width="26.7109375" bestFit="1" customWidth="1"/>
    <col min="234" max="234" width="31.42578125" bestFit="1" customWidth="1"/>
    <col min="235" max="235" width="31.7109375" bestFit="1" customWidth="1"/>
    <col min="236" max="236" width="25.7109375" bestFit="1" customWidth="1"/>
    <col min="237" max="237" width="18.85546875" bestFit="1" customWidth="1"/>
  </cols>
  <sheetData>
    <row r="3" spans="1:45">
      <c r="B3" s="6" t="s">
        <v>193</v>
      </c>
      <c r="C3" s="6" t="s">
        <v>254</v>
      </c>
    </row>
    <row r="4" spans="1:45">
      <c r="B4" t="s">
        <v>206</v>
      </c>
      <c r="F4" t="s">
        <v>218</v>
      </c>
      <c r="J4" t="s">
        <v>226</v>
      </c>
      <c r="N4" t="s">
        <v>235</v>
      </c>
      <c r="R4" t="s">
        <v>239</v>
      </c>
      <c r="V4" t="s">
        <v>243</v>
      </c>
      <c r="Z4" t="s">
        <v>248</v>
      </c>
      <c r="AD4" t="s">
        <v>249</v>
      </c>
      <c r="AH4" t="s">
        <v>251</v>
      </c>
      <c r="AL4" t="s">
        <v>200</v>
      </c>
      <c r="AP4" t="s">
        <v>289</v>
      </c>
      <c r="AQ4" t="s">
        <v>293</v>
      </c>
      <c r="AR4" t="s">
        <v>290</v>
      </c>
      <c r="AS4" t="s">
        <v>292</v>
      </c>
    </row>
    <row r="5" spans="1:45">
      <c r="A5" s="6" t="s">
        <v>194</v>
      </c>
      <c r="B5" t="s">
        <v>256</v>
      </c>
      <c r="C5" t="s">
        <v>294</v>
      </c>
      <c r="D5" t="s">
        <v>291</v>
      </c>
      <c r="E5" t="s">
        <v>264</v>
      </c>
      <c r="F5" t="s">
        <v>256</v>
      </c>
      <c r="G5" t="s">
        <v>294</v>
      </c>
      <c r="H5" t="s">
        <v>291</v>
      </c>
      <c r="I5" t="s">
        <v>264</v>
      </c>
      <c r="J5" t="s">
        <v>256</v>
      </c>
      <c r="K5" t="s">
        <v>294</v>
      </c>
      <c r="L5" t="s">
        <v>291</v>
      </c>
      <c r="M5" t="s">
        <v>264</v>
      </c>
      <c r="N5" t="s">
        <v>256</v>
      </c>
      <c r="O5" t="s">
        <v>294</v>
      </c>
      <c r="P5" t="s">
        <v>291</v>
      </c>
      <c r="Q5" t="s">
        <v>264</v>
      </c>
      <c r="R5" t="s">
        <v>256</v>
      </c>
      <c r="S5" t="s">
        <v>294</v>
      </c>
      <c r="T5" t="s">
        <v>291</v>
      </c>
      <c r="U5" t="s">
        <v>264</v>
      </c>
      <c r="V5" t="s">
        <v>256</v>
      </c>
      <c r="W5" t="s">
        <v>294</v>
      </c>
      <c r="X5" t="s">
        <v>291</v>
      </c>
      <c r="Y5" t="s">
        <v>264</v>
      </c>
      <c r="Z5" t="s">
        <v>256</v>
      </c>
      <c r="AA5" t="s">
        <v>294</v>
      </c>
      <c r="AB5" t="s">
        <v>291</v>
      </c>
      <c r="AC5" t="s">
        <v>264</v>
      </c>
      <c r="AD5" t="s">
        <v>256</v>
      </c>
      <c r="AE5" t="s">
        <v>294</v>
      </c>
      <c r="AF5" t="s">
        <v>291</v>
      </c>
      <c r="AG5" t="s">
        <v>264</v>
      </c>
      <c r="AH5" t="s">
        <v>256</v>
      </c>
      <c r="AI5" t="s">
        <v>294</v>
      </c>
      <c r="AJ5" t="s">
        <v>291</v>
      </c>
      <c r="AK5" t="s">
        <v>264</v>
      </c>
      <c r="AL5" t="s">
        <v>256</v>
      </c>
      <c r="AM5" t="s">
        <v>294</v>
      </c>
      <c r="AN5" t="s">
        <v>291</v>
      </c>
      <c r="AO5" t="s">
        <v>264</v>
      </c>
    </row>
    <row r="6" spans="1:45">
      <c r="A6" t="s">
        <v>15</v>
      </c>
      <c r="B6" s="7">
        <v>4271</v>
      </c>
      <c r="C6" s="7">
        <v>1554</v>
      </c>
      <c r="D6" s="7">
        <v>4271</v>
      </c>
      <c r="E6" s="7">
        <v>0</v>
      </c>
      <c r="F6" s="7">
        <v>13176</v>
      </c>
      <c r="G6" s="7">
        <v>784</v>
      </c>
      <c r="H6" s="7">
        <v>13161</v>
      </c>
      <c r="I6" s="7">
        <v>15</v>
      </c>
      <c r="J6" s="7">
        <v>3280</v>
      </c>
      <c r="K6" s="7">
        <v>345</v>
      </c>
      <c r="L6" s="7">
        <v>3280</v>
      </c>
      <c r="M6" s="7">
        <v>0</v>
      </c>
      <c r="N6" s="7">
        <v>5252</v>
      </c>
      <c r="O6" s="7">
        <v>441</v>
      </c>
      <c r="P6" s="7">
        <v>5252</v>
      </c>
      <c r="Q6" s="7">
        <v>0</v>
      </c>
      <c r="R6" s="7">
        <v>24801</v>
      </c>
      <c r="S6" s="7">
        <v>5391</v>
      </c>
      <c r="T6" s="7">
        <v>24801</v>
      </c>
      <c r="U6" s="7">
        <v>0</v>
      </c>
      <c r="V6" s="7">
        <v>24085</v>
      </c>
      <c r="W6" s="7">
        <v>4490</v>
      </c>
      <c r="X6" s="7">
        <v>23746</v>
      </c>
      <c r="Y6" s="7">
        <v>339</v>
      </c>
      <c r="Z6" s="7">
        <v>31449</v>
      </c>
      <c r="AA6" s="7">
        <v>3044</v>
      </c>
      <c r="AB6" s="7">
        <v>31449</v>
      </c>
      <c r="AC6" s="7">
        <v>0</v>
      </c>
      <c r="AD6" s="7">
        <v>3302</v>
      </c>
      <c r="AE6" s="7">
        <v>351</v>
      </c>
      <c r="AF6" s="7">
        <v>3302</v>
      </c>
      <c r="AG6" s="7">
        <v>0</v>
      </c>
      <c r="AH6" s="7">
        <v>7878</v>
      </c>
      <c r="AI6" s="7">
        <v>284</v>
      </c>
      <c r="AJ6" s="7">
        <v>7878</v>
      </c>
      <c r="AK6" s="7">
        <v>0</v>
      </c>
      <c r="AL6" s="7">
        <v>6263</v>
      </c>
      <c r="AM6" s="7">
        <v>870</v>
      </c>
      <c r="AN6" s="7">
        <v>6263</v>
      </c>
      <c r="AO6" s="7">
        <v>0</v>
      </c>
      <c r="AP6" s="7">
        <v>123757</v>
      </c>
      <c r="AQ6" s="7">
        <v>17554</v>
      </c>
      <c r="AR6" s="7">
        <v>123403</v>
      </c>
      <c r="AS6" s="7">
        <v>354</v>
      </c>
    </row>
    <row r="7" spans="1:45">
      <c r="A7" t="s">
        <v>253</v>
      </c>
      <c r="B7" s="7">
        <v>4271</v>
      </c>
      <c r="C7" s="7">
        <v>1554</v>
      </c>
      <c r="D7" s="7">
        <v>4271</v>
      </c>
      <c r="E7" s="7">
        <v>0</v>
      </c>
      <c r="F7" s="7">
        <v>13176</v>
      </c>
      <c r="G7" s="7">
        <v>784</v>
      </c>
      <c r="H7" s="7">
        <v>13161</v>
      </c>
      <c r="I7" s="7">
        <v>15</v>
      </c>
      <c r="J7" s="7">
        <v>3280</v>
      </c>
      <c r="K7" s="7">
        <v>345</v>
      </c>
      <c r="L7" s="7">
        <v>3280</v>
      </c>
      <c r="M7" s="7">
        <v>0</v>
      </c>
      <c r="N7" s="7">
        <v>5252</v>
      </c>
      <c r="O7" s="7">
        <v>441</v>
      </c>
      <c r="P7" s="7">
        <v>5252</v>
      </c>
      <c r="Q7" s="7">
        <v>0</v>
      </c>
      <c r="R7" s="7">
        <v>24801</v>
      </c>
      <c r="S7" s="7">
        <v>5391</v>
      </c>
      <c r="T7" s="7">
        <v>24801</v>
      </c>
      <c r="U7" s="7">
        <v>0</v>
      </c>
      <c r="V7" s="7">
        <v>24085</v>
      </c>
      <c r="W7" s="7">
        <v>4490</v>
      </c>
      <c r="X7" s="7">
        <v>23746</v>
      </c>
      <c r="Y7" s="7">
        <v>339</v>
      </c>
      <c r="Z7" s="7">
        <v>31449</v>
      </c>
      <c r="AA7" s="7">
        <v>3044</v>
      </c>
      <c r="AB7" s="7">
        <v>31449</v>
      </c>
      <c r="AC7" s="7">
        <v>0</v>
      </c>
      <c r="AD7" s="7">
        <v>3302</v>
      </c>
      <c r="AE7" s="7">
        <v>351</v>
      </c>
      <c r="AF7" s="7">
        <v>3302</v>
      </c>
      <c r="AG7" s="7">
        <v>0</v>
      </c>
      <c r="AH7" s="7">
        <v>7878</v>
      </c>
      <c r="AI7" s="7">
        <v>284</v>
      </c>
      <c r="AJ7" s="7">
        <v>7878</v>
      </c>
      <c r="AK7" s="7">
        <v>0</v>
      </c>
      <c r="AL7" s="7">
        <v>6263</v>
      </c>
      <c r="AM7" s="7">
        <v>870</v>
      </c>
      <c r="AN7" s="7">
        <v>6263</v>
      </c>
      <c r="AO7" s="7">
        <v>0</v>
      </c>
      <c r="AP7" s="7">
        <v>123757</v>
      </c>
      <c r="AQ7" s="7">
        <v>17554</v>
      </c>
      <c r="AR7" s="7">
        <v>123403</v>
      </c>
      <c r="AS7" s="7">
        <v>354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81433-E875-40B2-BB4D-44A2A71ECC80}">
  <sheetPr codeName="Sheet3"/>
  <dimension ref="A1:X61"/>
  <sheetViews>
    <sheetView tabSelected="1" workbookViewId="0">
      <selection activeCell="H13" sqref="H13"/>
    </sheetView>
  </sheetViews>
  <sheetFormatPr defaultRowHeight="15"/>
  <cols>
    <col min="1" max="1" width="10" bestFit="1" customWidth="1"/>
    <col min="2" max="2" width="6.140625" bestFit="1" customWidth="1"/>
    <col min="3" max="3" width="19.5703125" bestFit="1" customWidth="1"/>
    <col min="4" max="4" width="14.42578125" bestFit="1" customWidth="1"/>
    <col min="5" max="5" width="12.85546875" bestFit="1" customWidth="1"/>
    <col min="6" max="6" width="13.140625" bestFit="1" customWidth="1"/>
    <col min="7" max="7" width="10.85546875" bestFit="1" customWidth="1"/>
    <col min="8" max="8" width="10.85546875" customWidth="1"/>
    <col min="9" max="9" width="15" bestFit="1" customWidth="1"/>
    <col min="10" max="10" width="15.140625" bestFit="1" customWidth="1"/>
    <col min="11" max="11" width="14.42578125" bestFit="1" customWidth="1"/>
    <col min="12" max="12" width="14.42578125" customWidth="1"/>
    <col min="13" max="13" width="18.140625" bestFit="1" customWidth="1"/>
    <col min="14" max="14" width="18.28515625" bestFit="1" customWidth="1"/>
    <col min="15" max="15" width="12.85546875" bestFit="1" customWidth="1"/>
    <col min="16" max="16" width="12.85546875" customWidth="1"/>
    <col min="17" max="17" width="12" bestFit="1" customWidth="1"/>
    <col min="18" max="18" width="7.7109375" bestFit="1" customWidth="1"/>
    <col min="19" max="19" width="8.140625" bestFit="1" customWidth="1"/>
    <col min="20" max="20" width="14" bestFit="1" customWidth="1"/>
    <col min="21" max="21" width="12.140625" bestFit="1" customWidth="1"/>
    <col min="22" max="22" width="11.7109375" bestFit="1" customWidth="1"/>
    <col min="23" max="23" width="12" bestFit="1" customWidth="1"/>
    <col min="24" max="24" width="15.85546875" bestFit="1" customWidth="1"/>
  </cols>
  <sheetData>
    <row r="1" spans="1:24">
      <c r="A1" s="15" t="s">
        <v>191</v>
      </c>
      <c r="B1" s="15" t="s">
        <v>192</v>
      </c>
      <c r="C1" s="15" t="s">
        <v>193</v>
      </c>
      <c r="D1" s="15" t="s">
        <v>194</v>
      </c>
      <c r="E1" s="16" t="s">
        <v>174</v>
      </c>
      <c r="F1" s="16" t="s">
        <v>175</v>
      </c>
      <c r="G1" s="16" t="s">
        <v>176</v>
      </c>
      <c r="H1" s="17" t="s">
        <v>265</v>
      </c>
      <c r="I1" s="16" t="s">
        <v>177</v>
      </c>
      <c r="J1" s="16" t="s">
        <v>178</v>
      </c>
      <c r="K1" s="16" t="s">
        <v>179</v>
      </c>
      <c r="L1" s="17" t="s">
        <v>266</v>
      </c>
      <c r="M1" s="16" t="s">
        <v>180</v>
      </c>
      <c r="N1" s="16" t="s">
        <v>181</v>
      </c>
      <c r="O1" s="16" t="s">
        <v>182</v>
      </c>
      <c r="P1" s="17" t="s">
        <v>267</v>
      </c>
      <c r="Q1" s="16" t="s">
        <v>183</v>
      </c>
      <c r="R1" s="16" t="s">
        <v>184</v>
      </c>
      <c r="S1" s="16" t="s">
        <v>185</v>
      </c>
      <c r="T1" s="16" t="s">
        <v>186</v>
      </c>
      <c r="U1" s="16" t="s">
        <v>187</v>
      </c>
      <c r="V1" s="16" t="s">
        <v>188</v>
      </c>
      <c r="W1" s="16" t="s">
        <v>189</v>
      </c>
      <c r="X1" s="16" t="s">
        <v>190</v>
      </c>
    </row>
    <row r="2" spans="1:24">
      <c r="A2" s="1" t="s">
        <v>2</v>
      </c>
      <c r="B2" s="1" t="s">
        <v>1</v>
      </c>
      <c r="C2" s="1" t="s">
        <v>195</v>
      </c>
      <c r="D2" s="1" t="s">
        <v>0</v>
      </c>
      <c r="E2" s="2">
        <v>3771</v>
      </c>
      <c r="F2" s="2">
        <v>3977</v>
      </c>
      <c r="G2" s="2">
        <v>-206</v>
      </c>
      <c r="H2" s="14">
        <f>((E2-F2)/F2)*100</f>
        <v>-5.179783756600453</v>
      </c>
      <c r="I2" s="2">
        <v>73166</v>
      </c>
      <c r="J2" s="2">
        <v>72926</v>
      </c>
      <c r="K2" s="2">
        <v>240</v>
      </c>
      <c r="L2" s="14">
        <f>((I2-J2)/J2)*100</f>
        <v>0.32910073224912928</v>
      </c>
      <c r="M2" s="2">
        <v>76937</v>
      </c>
      <c r="N2" s="2">
        <v>76903</v>
      </c>
      <c r="O2" s="2">
        <v>34</v>
      </c>
      <c r="P2" s="14">
        <f>((M2-N2)/N2)*100</f>
        <v>4.4211539211734263E-2</v>
      </c>
      <c r="Q2" s="2">
        <v>206</v>
      </c>
      <c r="R2" s="2">
        <v>34</v>
      </c>
      <c r="S2" s="2">
        <v>0</v>
      </c>
      <c r="T2" s="2">
        <v>0</v>
      </c>
      <c r="U2" s="2">
        <v>0</v>
      </c>
      <c r="V2" s="2">
        <v>0</v>
      </c>
      <c r="W2" s="2">
        <v>0</v>
      </c>
      <c r="X2" s="2">
        <v>33178</v>
      </c>
    </row>
    <row r="3" spans="1:24">
      <c r="A3" s="1" t="s">
        <v>5</v>
      </c>
      <c r="B3" s="1" t="s">
        <v>1</v>
      </c>
      <c r="C3" s="1" t="s">
        <v>196</v>
      </c>
      <c r="D3" s="1" t="s">
        <v>3</v>
      </c>
      <c r="E3" s="2">
        <v>228</v>
      </c>
      <c r="F3" s="2">
        <v>228</v>
      </c>
      <c r="G3" s="2">
        <v>0</v>
      </c>
      <c r="H3" s="14">
        <f t="shared" ref="H3:H59" si="0">((E3-F3)/F3)*100</f>
        <v>0</v>
      </c>
      <c r="I3" s="2">
        <v>2283</v>
      </c>
      <c r="J3" s="2">
        <v>2283</v>
      </c>
      <c r="K3" s="2">
        <v>0</v>
      </c>
      <c r="L3" s="14">
        <f t="shared" ref="L3:L59" si="1">((I3-J3)/J3)*100</f>
        <v>0</v>
      </c>
      <c r="M3" s="2">
        <v>2511</v>
      </c>
      <c r="N3" s="2">
        <v>2511</v>
      </c>
      <c r="O3" s="2">
        <v>0</v>
      </c>
      <c r="P3" s="14">
        <f t="shared" ref="P3:P59" si="2">((M3-N3)/N3)*100</f>
        <v>0</v>
      </c>
      <c r="Q3" s="2">
        <v>0</v>
      </c>
      <c r="R3" s="2">
        <v>0</v>
      </c>
      <c r="S3" s="2">
        <v>0</v>
      </c>
      <c r="T3" s="2">
        <v>0</v>
      </c>
      <c r="U3" s="2">
        <v>0</v>
      </c>
      <c r="V3" s="2">
        <v>0</v>
      </c>
      <c r="W3" s="2">
        <v>0</v>
      </c>
      <c r="X3" s="2">
        <v>414</v>
      </c>
    </row>
    <row r="4" spans="1:24">
      <c r="A4" s="1" t="s">
        <v>8</v>
      </c>
      <c r="B4" s="1" t="s">
        <v>1</v>
      </c>
      <c r="C4" s="1" t="s">
        <v>197</v>
      </c>
      <c r="D4" s="1" t="s">
        <v>3</v>
      </c>
      <c r="E4" s="2">
        <v>38</v>
      </c>
      <c r="F4" s="2">
        <v>38</v>
      </c>
      <c r="G4" s="2">
        <v>0</v>
      </c>
      <c r="H4" s="14">
        <f t="shared" si="0"/>
        <v>0</v>
      </c>
      <c r="I4" s="2">
        <v>345</v>
      </c>
      <c r="J4" s="2">
        <v>345</v>
      </c>
      <c r="K4" s="2">
        <v>0</v>
      </c>
      <c r="L4" s="14">
        <f t="shared" si="1"/>
        <v>0</v>
      </c>
      <c r="M4" s="2">
        <v>383</v>
      </c>
      <c r="N4" s="2">
        <v>383</v>
      </c>
      <c r="O4" s="2">
        <v>0</v>
      </c>
      <c r="P4" s="14">
        <f t="shared" si="2"/>
        <v>0</v>
      </c>
      <c r="Q4" s="2">
        <v>0</v>
      </c>
      <c r="R4" s="2">
        <v>0</v>
      </c>
      <c r="S4" s="2">
        <v>0</v>
      </c>
      <c r="T4" s="2">
        <v>0</v>
      </c>
      <c r="U4" s="2">
        <v>0</v>
      </c>
      <c r="V4" s="2">
        <v>0</v>
      </c>
      <c r="W4" s="2">
        <v>0</v>
      </c>
      <c r="X4" s="2">
        <v>47</v>
      </c>
    </row>
    <row r="5" spans="1:24">
      <c r="A5" s="1" t="s">
        <v>11</v>
      </c>
      <c r="B5" s="1" t="s">
        <v>1</v>
      </c>
      <c r="C5" s="1" t="s">
        <v>198</v>
      </c>
      <c r="D5" s="1" t="s">
        <v>3</v>
      </c>
      <c r="E5" s="2">
        <v>1876</v>
      </c>
      <c r="F5" s="2">
        <v>1877</v>
      </c>
      <c r="G5" s="2">
        <v>-1</v>
      </c>
      <c r="H5" s="14">
        <f t="shared" si="0"/>
        <v>-5.3276505061267979E-2</v>
      </c>
      <c r="I5" s="2">
        <v>22379</v>
      </c>
      <c r="J5" s="2">
        <v>22377</v>
      </c>
      <c r="K5" s="2">
        <v>2</v>
      </c>
      <c r="L5" s="14">
        <f t="shared" si="1"/>
        <v>8.9377485811324136E-3</v>
      </c>
      <c r="M5" s="2">
        <v>24255</v>
      </c>
      <c r="N5" s="2">
        <v>24254</v>
      </c>
      <c r="O5" s="2">
        <v>1</v>
      </c>
      <c r="P5" s="14">
        <f t="shared" si="2"/>
        <v>4.1230312525768944E-3</v>
      </c>
      <c r="Q5" s="2">
        <v>2</v>
      </c>
      <c r="R5" s="2">
        <v>1</v>
      </c>
      <c r="S5" s="2">
        <v>0</v>
      </c>
      <c r="T5" s="2">
        <v>1</v>
      </c>
      <c r="U5" s="2">
        <v>0</v>
      </c>
      <c r="V5" s="2">
        <v>0</v>
      </c>
      <c r="W5" s="2">
        <v>0</v>
      </c>
      <c r="X5" s="2">
        <v>1783</v>
      </c>
    </row>
    <row r="6" spans="1:24">
      <c r="A6" s="1" t="s">
        <v>14</v>
      </c>
      <c r="B6" s="1" t="s">
        <v>1</v>
      </c>
      <c r="C6" s="1" t="s">
        <v>199</v>
      </c>
      <c r="D6" s="1" t="s">
        <v>12</v>
      </c>
      <c r="E6" s="2">
        <v>8395</v>
      </c>
      <c r="F6" s="2">
        <v>8475</v>
      </c>
      <c r="G6" s="2">
        <v>-80</v>
      </c>
      <c r="H6" s="14">
        <f t="shared" si="0"/>
        <v>-0.94395280235988199</v>
      </c>
      <c r="I6" s="2">
        <v>56068</v>
      </c>
      <c r="J6" s="2">
        <v>56025</v>
      </c>
      <c r="K6" s="2">
        <v>43</v>
      </c>
      <c r="L6" s="14">
        <f t="shared" si="1"/>
        <v>7.675145024542615E-2</v>
      </c>
      <c r="M6" s="2">
        <v>64463</v>
      </c>
      <c r="N6" s="2">
        <v>64500</v>
      </c>
      <c r="O6" s="2">
        <v>-37</v>
      </c>
      <c r="P6" s="14">
        <f t="shared" si="2"/>
        <v>-5.7364341085271317E-2</v>
      </c>
      <c r="Q6" s="2">
        <v>82</v>
      </c>
      <c r="R6" s="2">
        <v>0</v>
      </c>
      <c r="S6" s="2">
        <v>1</v>
      </c>
      <c r="T6" s="2">
        <v>39</v>
      </c>
      <c r="U6" s="2">
        <v>38</v>
      </c>
      <c r="V6" s="2">
        <v>0</v>
      </c>
      <c r="W6" s="2">
        <v>1</v>
      </c>
      <c r="X6" s="2">
        <v>19789</v>
      </c>
    </row>
    <row r="7" spans="1:24">
      <c r="A7" s="1" t="s">
        <v>17</v>
      </c>
      <c r="B7" s="1" t="s">
        <v>1</v>
      </c>
      <c r="C7" s="1" t="s">
        <v>200</v>
      </c>
      <c r="D7" s="1" t="s">
        <v>15</v>
      </c>
      <c r="E7" s="2">
        <v>675</v>
      </c>
      <c r="F7" s="2">
        <v>675</v>
      </c>
      <c r="G7" s="2">
        <v>0</v>
      </c>
      <c r="H7" s="14">
        <f t="shared" si="0"/>
        <v>0</v>
      </c>
      <c r="I7" s="2">
        <v>5588</v>
      </c>
      <c r="J7" s="2">
        <v>5588</v>
      </c>
      <c r="K7" s="2">
        <v>0</v>
      </c>
      <c r="L7" s="14">
        <f t="shared" si="1"/>
        <v>0</v>
      </c>
      <c r="M7" s="2">
        <v>6263</v>
      </c>
      <c r="N7" s="2">
        <v>6263</v>
      </c>
      <c r="O7" s="2">
        <v>0</v>
      </c>
      <c r="P7" s="14">
        <f t="shared" si="2"/>
        <v>0</v>
      </c>
      <c r="Q7" s="2">
        <v>1</v>
      </c>
      <c r="R7" s="2">
        <v>0</v>
      </c>
      <c r="S7" s="2">
        <v>0</v>
      </c>
      <c r="T7" s="2">
        <v>1</v>
      </c>
      <c r="U7" s="2">
        <v>0</v>
      </c>
      <c r="V7" s="2">
        <v>0</v>
      </c>
      <c r="W7" s="2">
        <v>0</v>
      </c>
      <c r="X7" s="2">
        <v>870</v>
      </c>
    </row>
    <row r="8" spans="1:24">
      <c r="A8" s="1" t="s">
        <v>20</v>
      </c>
      <c r="B8" s="1" t="s">
        <v>1</v>
      </c>
      <c r="C8" s="1" t="s">
        <v>201</v>
      </c>
      <c r="D8" s="1" t="s">
        <v>3</v>
      </c>
      <c r="E8" s="2">
        <v>1928</v>
      </c>
      <c r="F8" s="2">
        <v>1968</v>
      </c>
      <c r="G8" s="2">
        <v>-40</v>
      </c>
      <c r="H8" s="14">
        <f t="shared" si="0"/>
        <v>-2.0325203252032518</v>
      </c>
      <c r="I8" s="2">
        <v>7934</v>
      </c>
      <c r="J8" s="2">
        <v>7899</v>
      </c>
      <c r="K8" s="2">
        <v>35</v>
      </c>
      <c r="L8" s="14">
        <f t="shared" si="1"/>
        <v>0.44309406253956196</v>
      </c>
      <c r="M8" s="2">
        <v>9862</v>
      </c>
      <c r="N8" s="2">
        <v>9867</v>
      </c>
      <c r="O8" s="2">
        <v>-5</v>
      </c>
      <c r="P8" s="14">
        <f t="shared" si="2"/>
        <v>-5.0673963717441976E-2</v>
      </c>
      <c r="Q8" s="2">
        <v>40</v>
      </c>
      <c r="R8" s="2">
        <v>0</v>
      </c>
      <c r="S8" s="2">
        <v>0</v>
      </c>
      <c r="T8" s="2">
        <v>1</v>
      </c>
      <c r="U8" s="2">
        <v>1</v>
      </c>
      <c r="V8" s="2">
        <v>4</v>
      </c>
      <c r="W8" s="2">
        <v>0</v>
      </c>
      <c r="X8" s="2">
        <v>1709</v>
      </c>
    </row>
    <row r="9" spans="1:24">
      <c r="A9" s="1" t="s">
        <v>23</v>
      </c>
      <c r="B9" s="1" t="s">
        <v>1</v>
      </c>
      <c r="C9" s="1" t="s">
        <v>202</v>
      </c>
      <c r="D9" s="1" t="s">
        <v>12</v>
      </c>
      <c r="E9" s="2">
        <v>528</v>
      </c>
      <c r="F9" s="2">
        <v>528</v>
      </c>
      <c r="G9" s="2">
        <v>0</v>
      </c>
      <c r="H9" s="14">
        <f t="shared" si="0"/>
        <v>0</v>
      </c>
      <c r="I9" s="2">
        <v>4446</v>
      </c>
      <c r="J9" s="2">
        <v>4446</v>
      </c>
      <c r="K9" s="2">
        <v>0</v>
      </c>
      <c r="L9" s="14">
        <f t="shared" si="1"/>
        <v>0</v>
      </c>
      <c r="M9" s="2">
        <v>4974</v>
      </c>
      <c r="N9" s="2">
        <v>4974</v>
      </c>
      <c r="O9" s="2">
        <v>0</v>
      </c>
      <c r="P9" s="14">
        <f t="shared" si="2"/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742</v>
      </c>
    </row>
    <row r="10" spans="1:24">
      <c r="A10" s="1" t="s">
        <v>26</v>
      </c>
      <c r="B10" s="1" t="s">
        <v>1</v>
      </c>
      <c r="C10" s="1" t="s">
        <v>203</v>
      </c>
      <c r="D10" s="1" t="s">
        <v>12</v>
      </c>
      <c r="E10" s="2">
        <v>1010</v>
      </c>
      <c r="F10" s="2">
        <v>1010</v>
      </c>
      <c r="G10" s="2">
        <v>0</v>
      </c>
      <c r="H10" s="14">
        <f t="shared" si="0"/>
        <v>0</v>
      </c>
      <c r="I10" s="2">
        <v>5922</v>
      </c>
      <c r="J10" s="2">
        <v>5922</v>
      </c>
      <c r="K10" s="2">
        <v>0</v>
      </c>
      <c r="L10" s="14">
        <f t="shared" si="1"/>
        <v>0</v>
      </c>
      <c r="M10" s="2">
        <v>6932</v>
      </c>
      <c r="N10" s="2">
        <v>6932</v>
      </c>
      <c r="O10" s="2">
        <v>0</v>
      </c>
      <c r="P10" s="14">
        <f t="shared" si="2"/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1027</v>
      </c>
    </row>
    <row r="11" spans="1:24">
      <c r="A11" s="1" t="s">
        <v>29</v>
      </c>
      <c r="B11" s="1" t="s">
        <v>1</v>
      </c>
      <c r="C11" s="1" t="s">
        <v>204</v>
      </c>
      <c r="D11" s="1" t="s">
        <v>27</v>
      </c>
      <c r="E11" s="2">
        <v>5125</v>
      </c>
      <c r="F11" s="2">
        <v>5124</v>
      </c>
      <c r="G11" s="2">
        <v>1</v>
      </c>
      <c r="H11" s="14">
        <f t="shared" si="0"/>
        <v>1.95160031225605E-2</v>
      </c>
      <c r="I11" s="2">
        <v>23376</v>
      </c>
      <c r="J11" s="2">
        <v>23377</v>
      </c>
      <c r="K11" s="2">
        <v>-1</v>
      </c>
      <c r="L11" s="14">
        <f t="shared" si="1"/>
        <v>-4.2777088591350468E-3</v>
      </c>
      <c r="M11" s="2">
        <v>28501</v>
      </c>
      <c r="N11" s="2">
        <v>28501</v>
      </c>
      <c r="O11" s="2">
        <v>0</v>
      </c>
      <c r="P11" s="14">
        <f t="shared" si="2"/>
        <v>0</v>
      </c>
      <c r="Q11" s="2">
        <v>0</v>
      </c>
      <c r="R11" s="2">
        <v>0</v>
      </c>
      <c r="S11" s="2">
        <v>0</v>
      </c>
      <c r="T11" s="2">
        <v>1</v>
      </c>
      <c r="U11" s="2">
        <v>0</v>
      </c>
      <c r="V11" s="2">
        <v>0</v>
      </c>
      <c r="W11" s="2">
        <v>0</v>
      </c>
      <c r="X11" s="2">
        <v>6825</v>
      </c>
    </row>
    <row r="12" spans="1:24">
      <c r="A12" s="1" t="s">
        <v>32</v>
      </c>
      <c r="B12" s="1" t="s">
        <v>1</v>
      </c>
      <c r="C12" s="1" t="s">
        <v>205</v>
      </c>
      <c r="D12" s="1" t="s">
        <v>12</v>
      </c>
      <c r="E12" s="2">
        <v>967</v>
      </c>
      <c r="F12" s="2">
        <v>967</v>
      </c>
      <c r="G12" s="2">
        <v>0</v>
      </c>
      <c r="H12" s="14">
        <f t="shared" si="0"/>
        <v>0</v>
      </c>
      <c r="I12" s="2">
        <v>9797</v>
      </c>
      <c r="J12" s="2">
        <v>9797</v>
      </c>
      <c r="K12" s="2">
        <v>0</v>
      </c>
      <c r="L12" s="14">
        <f t="shared" si="1"/>
        <v>0</v>
      </c>
      <c r="M12" s="2">
        <v>10764</v>
      </c>
      <c r="N12" s="2">
        <v>10764</v>
      </c>
      <c r="O12" s="2">
        <v>0</v>
      </c>
      <c r="P12" s="14">
        <f t="shared" si="2"/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456</v>
      </c>
    </row>
    <row r="13" spans="1:24">
      <c r="A13" s="1" t="s">
        <v>35</v>
      </c>
      <c r="B13" s="1" t="s">
        <v>1</v>
      </c>
      <c r="C13" s="1" t="s">
        <v>206</v>
      </c>
      <c r="D13" s="1" t="s">
        <v>15</v>
      </c>
      <c r="E13" s="2">
        <v>976</v>
      </c>
      <c r="F13" s="2">
        <v>976</v>
      </c>
      <c r="G13" s="2">
        <v>0</v>
      </c>
      <c r="H13" s="14">
        <f t="shared" si="0"/>
        <v>0</v>
      </c>
      <c r="I13" s="2">
        <v>3295</v>
      </c>
      <c r="J13" s="2">
        <v>3295</v>
      </c>
      <c r="K13" s="2">
        <v>0</v>
      </c>
      <c r="L13" s="14">
        <f t="shared" si="1"/>
        <v>0</v>
      </c>
      <c r="M13" s="2">
        <v>4271</v>
      </c>
      <c r="N13" s="2">
        <v>4271</v>
      </c>
      <c r="O13" s="2">
        <v>0</v>
      </c>
      <c r="P13" s="14">
        <f t="shared" si="2"/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1554</v>
      </c>
    </row>
    <row r="14" spans="1:24">
      <c r="A14" s="1" t="s">
        <v>38</v>
      </c>
      <c r="B14" s="1" t="s">
        <v>1</v>
      </c>
      <c r="C14" s="1" t="s">
        <v>207</v>
      </c>
      <c r="D14" s="1" t="s">
        <v>3</v>
      </c>
      <c r="E14" s="2">
        <v>42</v>
      </c>
      <c r="F14" s="2">
        <v>42</v>
      </c>
      <c r="G14" s="2">
        <v>0</v>
      </c>
      <c r="H14" s="14">
        <f t="shared" si="0"/>
        <v>0</v>
      </c>
      <c r="I14" s="2">
        <v>888</v>
      </c>
      <c r="J14" s="2">
        <v>888</v>
      </c>
      <c r="K14" s="2">
        <v>0</v>
      </c>
      <c r="L14" s="14">
        <f t="shared" si="1"/>
        <v>0</v>
      </c>
      <c r="M14" s="2">
        <v>930</v>
      </c>
      <c r="N14" s="2">
        <v>930</v>
      </c>
      <c r="O14" s="2">
        <v>0</v>
      </c>
      <c r="P14" s="14">
        <f t="shared" si="2"/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62</v>
      </c>
    </row>
    <row r="15" spans="1:24">
      <c r="A15" s="1" t="s">
        <v>41</v>
      </c>
      <c r="B15" s="1" t="s">
        <v>1</v>
      </c>
      <c r="C15" s="1" t="s">
        <v>208</v>
      </c>
      <c r="D15" s="1" t="s">
        <v>27</v>
      </c>
      <c r="E15" s="2">
        <v>17241</v>
      </c>
      <c r="F15" s="2">
        <v>17321</v>
      </c>
      <c r="G15" s="2">
        <v>-80</v>
      </c>
      <c r="H15" s="14">
        <f t="shared" si="0"/>
        <v>-0.46186709774262458</v>
      </c>
      <c r="I15" s="2">
        <v>104224</v>
      </c>
      <c r="J15" s="2">
        <v>104107</v>
      </c>
      <c r="K15" s="2">
        <v>117</v>
      </c>
      <c r="L15" s="14">
        <f t="shared" si="1"/>
        <v>0.11238437376929505</v>
      </c>
      <c r="M15" s="2">
        <v>121471</v>
      </c>
      <c r="N15" s="2">
        <v>121434</v>
      </c>
      <c r="O15" s="2">
        <v>37</v>
      </c>
      <c r="P15" s="14">
        <f t="shared" si="2"/>
        <v>3.0469226081657527E-2</v>
      </c>
      <c r="Q15" s="2">
        <v>88</v>
      </c>
      <c r="R15" s="2">
        <v>37</v>
      </c>
      <c r="S15" s="2">
        <v>1</v>
      </c>
      <c r="T15" s="2">
        <v>8</v>
      </c>
      <c r="U15" s="2">
        <v>1</v>
      </c>
      <c r="V15" s="2">
        <v>0</v>
      </c>
      <c r="W15" s="2">
        <v>0</v>
      </c>
      <c r="X15" s="2">
        <v>16649</v>
      </c>
    </row>
    <row r="16" spans="1:24">
      <c r="A16" s="1" t="s">
        <v>44</v>
      </c>
      <c r="B16" s="1" t="s">
        <v>1</v>
      </c>
      <c r="C16" s="1" t="s">
        <v>209</v>
      </c>
      <c r="D16" s="1" t="s">
        <v>12</v>
      </c>
      <c r="E16" s="2">
        <v>615</v>
      </c>
      <c r="F16" s="2">
        <v>611</v>
      </c>
      <c r="G16" s="2">
        <v>4</v>
      </c>
      <c r="H16" s="14">
        <f t="shared" si="0"/>
        <v>0.65466448445171854</v>
      </c>
      <c r="I16" s="2">
        <v>6721</v>
      </c>
      <c r="J16" s="2">
        <v>6725</v>
      </c>
      <c r="K16" s="2">
        <v>-4</v>
      </c>
      <c r="L16" s="14">
        <f t="shared" si="1"/>
        <v>-5.9479553903345729E-2</v>
      </c>
      <c r="M16" s="2">
        <v>7336</v>
      </c>
      <c r="N16" s="2">
        <v>7336</v>
      </c>
      <c r="O16" s="2">
        <v>0</v>
      </c>
      <c r="P16" s="14">
        <f t="shared" si="2"/>
        <v>0</v>
      </c>
      <c r="Q16" s="2">
        <v>0</v>
      </c>
      <c r="R16" s="2">
        <v>0</v>
      </c>
      <c r="S16" s="2">
        <v>0</v>
      </c>
      <c r="T16" s="2">
        <v>4</v>
      </c>
      <c r="U16" s="2">
        <v>0</v>
      </c>
      <c r="V16" s="2">
        <v>0</v>
      </c>
      <c r="W16" s="2">
        <v>0</v>
      </c>
      <c r="X16" s="2">
        <v>919</v>
      </c>
    </row>
    <row r="17" spans="1:24">
      <c r="A17" s="1" t="s">
        <v>47</v>
      </c>
      <c r="B17" s="1" t="s">
        <v>1</v>
      </c>
      <c r="C17" s="1" t="s">
        <v>210</v>
      </c>
      <c r="D17" s="1" t="s">
        <v>27</v>
      </c>
      <c r="E17" s="2">
        <v>3671</v>
      </c>
      <c r="F17" s="2">
        <v>3626</v>
      </c>
      <c r="G17" s="2">
        <v>45</v>
      </c>
      <c r="H17" s="14">
        <f t="shared" si="0"/>
        <v>1.2410369553226697</v>
      </c>
      <c r="I17" s="2">
        <v>30740</v>
      </c>
      <c r="J17" s="2">
        <v>30016</v>
      </c>
      <c r="K17" s="2">
        <v>724</v>
      </c>
      <c r="L17" s="14">
        <f t="shared" si="1"/>
        <v>2.4120469083155651</v>
      </c>
      <c r="M17" s="2">
        <v>34411</v>
      </c>
      <c r="N17" s="2">
        <v>33642</v>
      </c>
      <c r="O17" s="2">
        <v>769</v>
      </c>
      <c r="P17" s="14">
        <f t="shared" si="2"/>
        <v>2.2858331847095892</v>
      </c>
      <c r="Q17" s="2">
        <v>0</v>
      </c>
      <c r="R17" s="2">
        <v>724</v>
      </c>
      <c r="S17" s="2">
        <v>45</v>
      </c>
      <c r="T17" s="2">
        <v>0</v>
      </c>
      <c r="U17" s="2">
        <v>0</v>
      </c>
      <c r="V17" s="2">
        <v>0</v>
      </c>
      <c r="W17" s="2">
        <v>6</v>
      </c>
      <c r="X17" s="2">
        <v>5601</v>
      </c>
    </row>
    <row r="18" spans="1:24">
      <c r="A18" s="1" t="s">
        <v>50</v>
      </c>
      <c r="B18" s="1" t="s">
        <v>1</v>
      </c>
      <c r="C18" s="1" t="s">
        <v>211</v>
      </c>
      <c r="D18" s="1" t="s">
        <v>3</v>
      </c>
      <c r="E18" s="2">
        <v>1021</v>
      </c>
      <c r="F18" s="2">
        <v>1021</v>
      </c>
      <c r="G18" s="2">
        <v>0</v>
      </c>
      <c r="H18" s="14">
        <f t="shared" si="0"/>
        <v>0</v>
      </c>
      <c r="I18" s="2">
        <v>18831</v>
      </c>
      <c r="J18" s="2">
        <v>18831</v>
      </c>
      <c r="K18" s="2">
        <v>0</v>
      </c>
      <c r="L18" s="14">
        <f t="shared" si="1"/>
        <v>0</v>
      </c>
      <c r="M18" s="2">
        <v>19852</v>
      </c>
      <c r="N18" s="2">
        <v>19852</v>
      </c>
      <c r="O18" s="2">
        <v>0</v>
      </c>
      <c r="P18" s="14">
        <f t="shared" si="2"/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941</v>
      </c>
    </row>
    <row r="19" spans="1:24">
      <c r="A19" s="1" t="s">
        <v>53</v>
      </c>
      <c r="B19" s="1" t="s">
        <v>1</v>
      </c>
      <c r="C19" s="1" t="s">
        <v>212</v>
      </c>
      <c r="D19" s="1" t="s">
        <v>3</v>
      </c>
      <c r="E19" s="2">
        <v>2398</v>
      </c>
      <c r="F19" s="2">
        <v>2402</v>
      </c>
      <c r="G19" s="2">
        <v>-4</v>
      </c>
      <c r="H19" s="14">
        <f t="shared" si="0"/>
        <v>-0.16652789342214822</v>
      </c>
      <c r="I19" s="2">
        <v>22801</v>
      </c>
      <c r="J19" s="2">
        <v>22793</v>
      </c>
      <c r="K19" s="2">
        <v>8</v>
      </c>
      <c r="L19" s="14">
        <f t="shared" si="1"/>
        <v>3.5098495152020362E-2</v>
      </c>
      <c r="M19" s="2">
        <v>25199</v>
      </c>
      <c r="N19" s="2">
        <v>25195</v>
      </c>
      <c r="O19" s="2">
        <v>4</v>
      </c>
      <c r="P19" s="14">
        <f t="shared" si="2"/>
        <v>1.5876165905933718E-2</v>
      </c>
      <c r="Q19" s="2">
        <v>22</v>
      </c>
      <c r="R19" s="2">
        <v>4</v>
      </c>
      <c r="S19" s="2">
        <v>0</v>
      </c>
      <c r="T19" s="2">
        <v>18</v>
      </c>
      <c r="U19" s="2">
        <v>0</v>
      </c>
      <c r="V19" s="2">
        <v>0</v>
      </c>
      <c r="W19" s="2">
        <v>0</v>
      </c>
      <c r="X19" s="2">
        <v>3011</v>
      </c>
    </row>
    <row r="20" spans="1:24">
      <c r="A20" s="1" t="s">
        <v>56</v>
      </c>
      <c r="B20" s="1" t="s">
        <v>1</v>
      </c>
      <c r="C20" s="1" t="s">
        <v>213</v>
      </c>
      <c r="D20" s="1" t="s">
        <v>0</v>
      </c>
      <c r="E20" s="2">
        <v>2113</v>
      </c>
      <c r="F20" s="2">
        <v>2166</v>
      </c>
      <c r="G20" s="2">
        <v>-53</v>
      </c>
      <c r="H20" s="14">
        <f t="shared" si="0"/>
        <v>-2.4469067405355491</v>
      </c>
      <c r="I20" s="2">
        <v>26475</v>
      </c>
      <c r="J20" s="2">
        <v>26475</v>
      </c>
      <c r="K20" s="2">
        <v>0</v>
      </c>
      <c r="L20" s="14">
        <f t="shared" si="1"/>
        <v>0</v>
      </c>
      <c r="M20" s="2">
        <v>28588</v>
      </c>
      <c r="N20" s="2">
        <v>28641</v>
      </c>
      <c r="O20" s="2">
        <v>-53</v>
      </c>
      <c r="P20" s="14">
        <f t="shared" si="2"/>
        <v>-0.18504940469955658</v>
      </c>
      <c r="Q20" s="2">
        <v>0</v>
      </c>
      <c r="R20" s="2">
        <v>0</v>
      </c>
      <c r="S20" s="2">
        <v>0</v>
      </c>
      <c r="T20" s="2">
        <v>0</v>
      </c>
      <c r="U20" s="2">
        <v>53</v>
      </c>
      <c r="V20" s="2">
        <v>0</v>
      </c>
      <c r="W20" s="2">
        <v>0</v>
      </c>
      <c r="X20" s="2">
        <v>11879</v>
      </c>
    </row>
    <row r="21" spans="1:24">
      <c r="A21" s="1" t="s">
        <v>59</v>
      </c>
      <c r="B21" s="1" t="s">
        <v>1</v>
      </c>
      <c r="C21" s="1" t="s">
        <v>214</v>
      </c>
      <c r="D21" s="1" t="s">
        <v>12</v>
      </c>
      <c r="E21" s="2">
        <v>4140</v>
      </c>
      <c r="F21" s="2">
        <v>3754</v>
      </c>
      <c r="G21" s="2">
        <v>386</v>
      </c>
      <c r="H21" s="14">
        <f t="shared" si="0"/>
        <v>10.282365476824721</v>
      </c>
      <c r="I21" s="2">
        <v>10420</v>
      </c>
      <c r="J21" s="2">
        <v>10235</v>
      </c>
      <c r="K21" s="2">
        <v>185</v>
      </c>
      <c r="L21" s="14">
        <f t="shared" si="1"/>
        <v>1.8075232046897898</v>
      </c>
      <c r="M21" s="2">
        <v>14560</v>
      </c>
      <c r="N21" s="2">
        <v>13989</v>
      </c>
      <c r="O21" s="2">
        <v>571</v>
      </c>
      <c r="P21" s="14">
        <f t="shared" si="2"/>
        <v>4.0817785402816495</v>
      </c>
      <c r="Q21" s="2">
        <v>8</v>
      </c>
      <c r="R21" s="2">
        <v>195</v>
      </c>
      <c r="S21" s="2">
        <v>376</v>
      </c>
      <c r="T21" s="2">
        <v>18</v>
      </c>
      <c r="U21" s="2">
        <v>0</v>
      </c>
      <c r="V21" s="2">
        <v>0</v>
      </c>
      <c r="W21" s="2">
        <v>371</v>
      </c>
      <c r="X21" s="2">
        <v>6799</v>
      </c>
    </row>
    <row r="22" spans="1:24">
      <c r="A22" s="1" t="s">
        <v>62</v>
      </c>
      <c r="B22" s="1" t="s">
        <v>1</v>
      </c>
      <c r="C22" s="1" t="s">
        <v>215</v>
      </c>
      <c r="D22" s="1" t="s">
        <v>0</v>
      </c>
      <c r="E22" s="2">
        <v>9824</v>
      </c>
      <c r="F22" s="2">
        <v>9801</v>
      </c>
      <c r="G22" s="2">
        <v>23</v>
      </c>
      <c r="H22" s="14">
        <f t="shared" si="0"/>
        <v>0.23466993163962863</v>
      </c>
      <c r="I22" s="2">
        <v>71847</v>
      </c>
      <c r="J22" s="2">
        <v>71502</v>
      </c>
      <c r="K22" s="2">
        <v>345</v>
      </c>
      <c r="L22" s="14">
        <f t="shared" si="1"/>
        <v>0.48250398590249222</v>
      </c>
      <c r="M22" s="2">
        <v>81673</v>
      </c>
      <c r="N22" s="2">
        <v>81305</v>
      </c>
      <c r="O22" s="2">
        <v>368</v>
      </c>
      <c r="P22" s="14">
        <f t="shared" si="2"/>
        <v>0.45261669024045259</v>
      </c>
      <c r="Q22" s="2">
        <v>10</v>
      </c>
      <c r="R22" s="2">
        <v>335</v>
      </c>
      <c r="S22" s="2">
        <v>33</v>
      </c>
      <c r="T22" s="2">
        <v>0</v>
      </c>
      <c r="U22" s="2">
        <v>0</v>
      </c>
      <c r="V22" s="2">
        <v>0</v>
      </c>
      <c r="W22" s="2">
        <v>0</v>
      </c>
      <c r="X22" s="2">
        <v>32993</v>
      </c>
    </row>
    <row r="23" spans="1:24">
      <c r="A23" s="1" t="s">
        <v>65</v>
      </c>
      <c r="B23" s="1" t="s">
        <v>1</v>
      </c>
      <c r="C23" s="1" t="s">
        <v>216</v>
      </c>
      <c r="D23" s="1" t="s">
        <v>0</v>
      </c>
      <c r="E23" s="2">
        <v>4279</v>
      </c>
      <c r="F23" s="2">
        <v>4185</v>
      </c>
      <c r="G23" s="2">
        <v>94</v>
      </c>
      <c r="H23" s="14">
        <f t="shared" si="0"/>
        <v>2.246117084826762</v>
      </c>
      <c r="I23" s="2">
        <v>8125</v>
      </c>
      <c r="J23" s="2">
        <v>7788</v>
      </c>
      <c r="K23" s="2">
        <v>337</v>
      </c>
      <c r="L23" s="14">
        <f t="shared" si="1"/>
        <v>4.3271700051361073</v>
      </c>
      <c r="M23" s="2">
        <v>12404</v>
      </c>
      <c r="N23" s="2">
        <v>11973</v>
      </c>
      <c r="O23" s="2">
        <v>431</v>
      </c>
      <c r="P23" s="14">
        <f t="shared" si="2"/>
        <v>3.5997661404827528</v>
      </c>
      <c r="Q23" s="2">
        <v>0</v>
      </c>
      <c r="R23" s="2">
        <v>337</v>
      </c>
      <c r="S23" s="2">
        <v>94</v>
      </c>
      <c r="T23" s="2">
        <v>0</v>
      </c>
      <c r="U23" s="2">
        <v>0</v>
      </c>
      <c r="V23" s="2">
        <v>0</v>
      </c>
      <c r="W23" s="2">
        <v>94</v>
      </c>
      <c r="X23" s="2">
        <v>4559</v>
      </c>
    </row>
    <row r="24" spans="1:24">
      <c r="A24" s="1" t="s">
        <v>68</v>
      </c>
      <c r="B24" s="1" t="s">
        <v>1</v>
      </c>
      <c r="C24" s="1" t="s">
        <v>217</v>
      </c>
      <c r="D24" s="1" t="s">
        <v>0</v>
      </c>
      <c r="E24" s="2">
        <v>4377</v>
      </c>
      <c r="F24" s="2">
        <v>3778</v>
      </c>
      <c r="G24" s="2">
        <v>599</v>
      </c>
      <c r="H24" s="14">
        <f t="shared" si="0"/>
        <v>15.854949708840657</v>
      </c>
      <c r="I24" s="2">
        <v>13094</v>
      </c>
      <c r="J24" s="2">
        <v>13347</v>
      </c>
      <c r="K24" s="2">
        <v>-253</v>
      </c>
      <c r="L24" s="14">
        <f t="shared" si="1"/>
        <v>-1.8955570540196298</v>
      </c>
      <c r="M24" s="2">
        <v>17472</v>
      </c>
      <c r="N24" s="2">
        <v>17126</v>
      </c>
      <c r="O24" s="2">
        <v>346</v>
      </c>
      <c r="P24" s="14">
        <f t="shared" si="2"/>
        <v>2.0203199813149597</v>
      </c>
      <c r="Q24" s="2">
        <v>66</v>
      </c>
      <c r="R24" s="2">
        <v>320</v>
      </c>
      <c r="S24" s="2">
        <v>26</v>
      </c>
      <c r="T24" s="2">
        <v>639</v>
      </c>
      <c r="U24" s="2">
        <v>0</v>
      </c>
      <c r="V24" s="2">
        <v>0</v>
      </c>
      <c r="W24" s="2">
        <v>26</v>
      </c>
      <c r="X24" s="2">
        <v>9312</v>
      </c>
    </row>
    <row r="25" spans="1:24">
      <c r="A25" s="1" t="s">
        <v>71</v>
      </c>
      <c r="B25" s="1" t="s">
        <v>1</v>
      </c>
      <c r="C25" s="1" t="s">
        <v>218</v>
      </c>
      <c r="D25" s="1" t="s">
        <v>15</v>
      </c>
      <c r="E25" s="2">
        <v>1379</v>
      </c>
      <c r="F25" s="2">
        <v>1358</v>
      </c>
      <c r="G25" s="2">
        <v>21</v>
      </c>
      <c r="H25" s="14">
        <f t="shared" si="0"/>
        <v>1.5463917525773196</v>
      </c>
      <c r="I25" s="2">
        <v>11797</v>
      </c>
      <c r="J25" s="2">
        <v>11803</v>
      </c>
      <c r="K25" s="2">
        <v>-6</v>
      </c>
      <c r="L25" s="14">
        <f t="shared" si="1"/>
        <v>-5.0834533593154277E-2</v>
      </c>
      <c r="M25" s="2">
        <v>13176</v>
      </c>
      <c r="N25" s="2">
        <v>13161</v>
      </c>
      <c r="O25" s="2">
        <v>15</v>
      </c>
      <c r="P25" s="14">
        <f t="shared" si="2"/>
        <v>0.11397310234784591</v>
      </c>
      <c r="Q25" s="2">
        <v>0</v>
      </c>
      <c r="R25" s="2">
        <v>5</v>
      </c>
      <c r="S25" s="2">
        <v>10</v>
      </c>
      <c r="T25" s="2">
        <v>11</v>
      </c>
      <c r="U25" s="2">
        <v>0</v>
      </c>
      <c r="V25" s="2">
        <v>0</v>
      </c>
      <c r="W25" s="2">
        <v>0</v>
      </c>
      <c r="X25" s="2">
        <v>784</v>
      </c>
    </row>
    <row r="26" spans="1:24">
      <c r="A26" s="1" t="s">
        <v>74</v>
      </c>
      <c r="B26" s="1" t="s">
        <v>1</v>
      </c>
      <c r="C26" s="1" t="s">
        <v>219</v>
      </c>
      <c r="D26" s="1" t="s">
        <v>3</v>
      </c>
      <c r="E26" s="2">
        <v>1230</v>
      </c>
      <c r="F26" s="2">
        <v>1243</v>
      </c>
      <c r="G26" s="2">
        <v>-13</v>
      </c>
      <c r="H26" s="14">
        <f t="shared" si="0"/>
        <v>-1.0458567980691875</v>
      </c>
      <c r="I26" s="2">
        <v>13220</v>
      </c>
      <c r="J26" s="2">
        <v>13208</v>
      </c>
      <c r="K26" s="2">
        <v>12</v>
      </c>
      <c r="L26" s="14">
        <f t="shared" si="1"/>
        <v>9.0854027861901887E-2</v>
      </c>
      <c r="M26" s="2">
        <v>14450</v>
      </c>
      <c r="N26" s="2">
        <v>14451</v>
      </c>
      <c r="O26" s="2">
        <v>-1</v>
      </c>
      <c r="P26" s="14">
        <f t="shared" si="2"/>
        <v>-6.9199363365857027E-3</v>
      </c>
      <c r="Q26" s="2">
        <v>13</v>
      </c>
      <c r="R26" s="2">
        <v>0</v>
      </c>
      <c r="S26" s="2">
        <v>0</v>
      </c>
      <c r="T26" s="2">
        <v>0</v>
      </c>
      <c r="U26" s="2">
        <v>0</v>
      </c>
      <c r="V26" s="2">
        <v>1</v>
      </c>
      <c r="W26" s="2">
        <v>0</v>
      </c>
      <c r="X26" s="2">
        <v>1359</v>
      </c>
    </row>
    <row r="27" spans="1:24">
      <c r="A27" s="1" t="s">
        <v>77</v>
      </c>
      <c r="B27" s="1" t="s">
        <v>1</v>
      </c>
      <c r="C27" s="1" t="s">
        <v>220</v>
      </c>
      <c r="D27" s="1" t="s">
        <v>3</v>
      </c>
      <c r="E27" s="2">
        <v>2696</v>
      </c>
      <c r="F27" s="2">
        <v>2696</v>
      </c>
      <c r="G27" s="2">
        <v>0</v>
      </c>
      <c r="H27" s="14">
        <f t="shared" si="0"/>
        <v>0</v>
      </c>
      <c r="I27" s="2">
        <v>33023</v>
      </c>
      <c r="J27" s="2">
        <v>32999</v>
      </c>
      <c r="K27" s="2">
        <v>24</v>
      </c>
      <c r="L27" s="14">
        <f t="shared" si="1"/>
        <v>7.2729476650807603E-2</v>
      </c>
      <c r="M27" s="2">
        <v>35719</v>
      </c>
      <c r="N27" s="2">
        <v>35695</v>
      </c>
      <c r="O27" s="2">
        <v>24</v>
      </c>
      <c r="P27" s="14">
        <f t="shared" si="2"/>
        <v>6.7236307606107298E-2</v>
      </c>
      <c r="Q27" s="2">
        <v>0</v>
      </c>
      <c r="R27" s="2">
        <v>24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2979</v>
      </c>
    </row>
    <row r="28" spans="1:24">
      <c r="A28" s="1" t="s">
        <v>80</v>
      </c>
      <c r="B28" s="1" t="s">
        <v>1</v>
      </c>
      <c r="C28" s="1" t="s">
        <v>221</v>
      </c>
      <c r="D28" s="1" t="s">
        <v>0</v>
      </c>
      <c r="E28" s="2">
        <v>1494</v>
      </c>
      <c r="F28" s="2">
        <v>1488</v>
      </c>
      <c r="G28" s="2">
        <v>6</v>
      </c>
      <c r="H28" s="14">
        <f t="shared" si="0"/>
        <v>0.40322580645161288</v>
      </c>
      <c r="I28" s="2">
        <v>24488</v>
      </c>
      <c r="J28" s="2">
        <v>24218</v>
      </c>
      <c r="K28" s="2">
        <v>270</v>
      </c>
      <c r="L28" s="14">
        <f t="shared" si="1"/>
        <v>1.1148732347840449</v>
      </c>
      <c r="M28" s="2">
        <v>25982</v>
      </c>
      <c r="N28" s="2">
        <v>25706</v>
      </c>
      <c r="O28" s="2">
        <v>276</v>
      </c>
      <c r="P28" s="14">
        <f t="shared" si="2"/>
        <v>1.0736792966622579</v>
      </c>
      <c r="Q28" s="2">
        <v>0</v>
      </c>
      <c r="R28" s="2">
        <v>270</v>
      </c>
      <c r="S28" s="2">
        <v>6</v>
      </c>
      <c r="T28" s="2">
        <v>0</v>
      </c>
      <c r="U28" s="2">
        <v>0</v>
      </c>
      <c r="V28" s="2">
        <v>0</v>
      </c>
      <c r="W28" s="2">
        <v>6</v>
      </c>
      <c r="X28" s="2">
        <v>2679</v>
      </c>
    </row>
    <row r="29" spans="1:24">
      <c r="A29" s="1" t="s">
        <v>83</v>
      </c>
      <c r="B29" s="1" t="s">
        <v>1</v>
      </c>
      <c r="C29" s="1" t="s">
        <v>222</v>
      </c>
      <c r="D29" s="1" t="s">
        <v>12</v>
      </c>
      <c r="E29" s="2">
        <v>3765</v>
      </c>
      <c r="F29" s="2">
        <v>3921</v>
      </c>
      <c r="G29" s="2">
        <v>-156</v>
      </c>
      <c r="H29" s="14">
        <f t="shared" si="0"/>
        <v>-3.9785768936495791</v>
      </c>
      <c r="I29" s="2">
        <v>25674</v>
      </c>
      <c r="J29" s="2">
        <v>25519</v>
      </c>
      <c r="K29" s="2">
        <v>155</v>
      </c>
      <c r="L29" s="14">
        <f t="shared" si="1"/>
        <v>0.60739057173086719</v>
      </c>
      <c r="M29" s="2">
        <v>29439</v>
      </c>
      <c r="N29" s="2">
        <v>29440</v>
      </c>
      <c r="O29" s="2">
        <v>-1</v>
      </c>
      <c r="P29" s="14">
        <f t="shared" si="2"/>
        <v>-3.3967391304347825E-3</v>
      </c>
      <c r="Q29" s="2">
        <v>156</v>
      </c>
      <c r="R29" s="2">
        <v>0</v>
      </c>
      <c r="S29" s="2">
        <v>0</v>
      </c>
      <c r="T29" s="2">
        <v>0</v>
      </c>
      <c r="U29" s="2">
        <v>0</v>
      </c>
      <c r="V29" s="2">
        <v>1</v>
      </c>
      <c r="W29" s="2">
        <v>0</v>
      </c>
      <c r="X29" s="2">
        <v>4635</v>
      </c>
    </row>
    <row r="30" spans="1:24">
      <c r="A30" s="1" t="s">
        <v>86</v>
      </c>
      <c r="B30" s="1" t="s">
        <v>1</v>
      </c>
      <c r="C30" s="1" t="s">
        <v>223</v>
      </c>
      <c r="D30" s="1" t="s">
        <v>3</v>
      </c>
      <c r="E30" s="2">
        <v>16343</v>
      </c>
      <c r="F30" s="2">
        <v>16204</v>
      </c>
      <c r="G30" s="2">
        <v>139</v>
      </c>
      <c r="H30" s="14">
        <f t="shared" si="0"/>
        <v>0.85781288570723269</v>
      </c>
      <c r="I30" s="2">
        <v>74601</v>
      </c>
      <c r="J30" s="2">
        <v>73689</v>
      </c>
      <c r="K30" s="2">
        <v>912</v>
      </c>
      <c r="L30" s="14">
        <f t="shared" si="1"/>
        <v>1.2376338395147173</v>
      </c>
      <c r="M30" s="2">
        <v>90949</v>
      </c>
      <c r="N30" s="2">
        <v>89898</v>
      </c>
      <c r="O30" s="2">
        <v>1051</v>
      </c>
      <c r="P30" s="14">
        <f t="shared" si="2"/>
        <v>1.1691027609068054</v>
      </c>
      <c r="Q30" s="2">
        <v>31</v>
      </c>
      <c r="R30" s="2">
        <v>888</v>
      </c>
      <c r="S30" s="2">
        <v>163</v>
      </c>
      <c r="T30" s="2">
        <v>7</v>
      </c>
      <c r="U30" s="2">
        <v>0</v>
      </c>
      <c r="V30" s="2">
        <v>0</v>
      </c>
      <c r="W30" s="2">
        <v>114</v>
      </c>
      <c r="X30" s="2">
        <v>18217</v>
      </c>
    </row>
    <row r="31" spans="1:24">
      <c r="A31" s="1" t="s">
        <v>89</v>
      </c>
      <c r="B31" s="1" t="s">
        <v>1</v>
      </c>
      <c r="C31" s="1" t="s">
        <v>224</v>
      </c>
      <c r="D31" s="1" t="s">
        <v>27</v>
      </c>
      <c r="E31" s="2">
        <v>7530</v>
      </c>
      <c r="F31" s="2">
        <v>7405</v>
      </c>
      <c r="G31" s="2">
        <v>125</v>
      </c>
      <c r="H31" s="14">
        <f t="shared" si="0"/>
        <v>1.6880486158001351</v>
      </c>
      <c r="I31" s="2">
        <v>54969</v>
      </c>
      <c r="J31" s="2">
        <v>54677</v>
      </c>
      <c r="K31" s="2">
        <v>292</v>
      </c>
      <c r="L31" s="14">
        <f t="shared" si="1"/>
        <v>0.53404539385847793</v>
      </c>
      <c r="M31" s="2">
        <v>62499</v>
      </c>
      <c r="N31" s="2">
        <v>62082</v>
      </c>
      <c r="O31" s="2">
        <v>417</v>
      </c>
      <c r="P31" s="14">
        <f t="shared" si="2"/>
        <v>0.67169227795496278</v>
      </c>
      <c r="Q31" s="2">
        <v>0</v>
      </c>
      <c r="R31" s="2">
        <v>293</v>
      </c>
      <c r="S31" s="2">
        <v>124</v>
      </c>
      <c r="T31" s="2">
        <v>1</v>
      </c>
      <c r="U31" s="2">
        <v>0</v>
      </c>
      <c r="V31" s="2">
        <v>0</v>
      </c>
      <c r="W31" s="2">
        <v>116</v>
      </c>
      <c r="X31" s="2">
        <v>7554</v>
      </c>
    </row>
    <row r="32" spans="1:24">
      <c r="A32" s="1" t="s">
        <v>92</v>
      </c>
      <c r="B32" s="1" t="s">
        <v>1</v>
      </c>
      <c r="C32" s="1" t="s">
        <v>225</v>
      </c>
      <c r="D32" s="1" t="s">
        <v>12</v>
      </c>
      <c r="E32" s="2">
        <v>2505</v>
      </c>
      <c r="F32" s="2">
        <v>2505</v>
      </c>
      <c r="G32" s="2">
        <v>0</v>
      </c>
      <c r="H32" s="14">
        <f t="shared" si="0"/>
        <v>0</v>
      </c>
      <c r="I32" s="2">
        <v>10424</v>
      </c>
      <c r="J32" s="2">
        <v>10424</v>
      </c>
      <c r="K32" s="2">
        <v>0</v>
      </c>
      <c r="L32" s="14">
        <f t="shared" si="1"/>
        <v>0</v>
      </c>
      <c r="M32" s="2">
        <v>12930</v>
      </c>
      <c r="N32" s="2">
        <v>12930</v>
      </c>
      <c r="O32" s="2">
        <v>0</v>
      </c>
      <c r="P32" s="14">
        <f t="shared" si="2"/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2261</v>
      </c>
    </row>
    <row r="33" spans="1:24">
      <c r="A33" s="1" t="s">
        <v>95</v>
      </c>
      <c r="B33" s="1" t="s">
        <v>1</v>
      </c>
      <c r="C33" s="1" t="s">
        <v>226</v>
      </c>
      <c r="D33" s="1" t="s">
        <v>15</v>
      </c>
      <c r="E33" s="2">
        <v>377</v>
      </c>
      <c r="F33" s="2">
        <v>377</v>
      </c>
      <c r="G33" s="2">
        <v>0</v>
      </c>
      <c r="H33" s="14">
        <f t="shared" si="0"/>
        <v>0</v>
      </c>
      <c r="I33" s="2">
        <v>2903</v>
      </c>
      <c r="J33" s="2">
        <v>2903</v>
      </c>
      <c r="K33" s="2">
        <v>0</v>
      </c>
      <c r="L33" s="14">
        <f t="shared" si="1"/>
        <v>0</v>
      </c>
      <c r="M33" s="2">
        <v>3280</v>
      </c>
      <c r="N33" s="2">
        <v>3280</v>
      </c>
      <c r="O33" s="2">
        <v>0</v>
      </c>
      <c r="P33" s="14">
        <f t="shared" si="2"/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345</v>
      </c>
    </row>
    <row r="34" spans="1:24">
      <c r="A34" s="1" t="s">
        <v>98</v>
      </c>
      <c r="B34" s="1" t="s">
        <v>1</v>
      </c>
      <c r="C34" s="1" t="s">
        <v>227</v>
      </c>
      <c r="D34" s="1" t="s">
        <v>0</v>
      </c>
      <c r="E34" s="2">
        <v>790</v>
      </c>
      <c r="F34" s="2">
        <v>790</v>
      </c>
      <c r="G34" s="2">
        <v>0</v>
      </c>
      <c r="H34" s="14">
        <f t="shared" si="0"/>
        <v>0</v>
      </c>
      <c r="I34" s="2">
        <v>3559</v>
      </c>
      <c r="J34" s="2">
        <v>3559</v>
      </c>
      <c r="K34" s="2">
        <v>0</v>
      </c>
      <c r="L34" s="14">
        <f t="shared" si="1"/>
        <v>0</v>
      </c>
      <c r="M34" s="2">
        <v>4349</v>
      </c>
      <c r="N34" s="3">
        <v>4349</v>
      </c>
      <c r="O34" s="2">
        <v>0</v>
      </c>
      <c r="P34" s="14">
        <f t="shared" si="2"/>
        <v>0</v>
      </c>
      <c r="Q34" s="2">
        <v>0</v>
      </c>
      <c r="R34" s="2">
        <v>0</v>
      </c>
      <c r="S34" s="2">
        <v>0</v>
      </c>
      <c r="T34" s="2">
        <v>0</v>
      </c>
      <c r="U34" s="2">
        <v>0</v>
      </c>
      <c r="V34" s="2">
        <v>0</v>
      </c>
      <c r="W34" s="2">
        <v>0</v>
      </c>
      <c r="X34" s="2">
        <v>626</v>
      </c>
    </row>
    <row r="35" spans="1:24">
      <c r="A35" s="1" t="s">
        <v>101</v>
      </c>
      <c r="B35" s="1" t="s">
        <v>1</v>
      </c>
      <c r="C35" s="1" t="s">
        <v>228</v>
      </c>
      <c r="D35" s="1" t="s">
        <v>27</v>
      </c>
      <c r="E35" s="2">
        <v>4241</v>
      </c>
      <c r="F35" s="2">
        <v>4084</v>
      </c>
      <c r="G35" s="2">
        <v>157</v>
      </c>
      <c r="H35" s="14">
        <f t="shared" si="0"/>
        <v>3.844270323212537</v>
      </c>
      <c r="I35" s="2">
        <v>86590</v>
      </c>
      <c r="J35" s="2">
        <v>86623</v>
      </c>
      <c r="K35" s="2">
        <v>-33</v>
      </c>
      <c r="L35" s="14">
        <f t="shared" si="1"/>
        <v>-3.8096117659282176E-2</v>
      </c>
      <c r="M35" s="2">
        <v>90831</v>
      </c>
      <c r="N35" s="2">
        <v>90707</v>
      </c>
      <c r="O35" s="2">
        <v>124</v>
      </c>
      <c r="P35" s="14">
        <f t="shared" si="2"/>
        <v>0.13670389275359124</v>
      </c>
      <c r="Q35" s="2">
        <v>1</v>
      </c>
      <c r="R35" s="2">
        <v>0</v>
      </c>
      <c r="S35" s="2">
        <v>124</v>
      </c>
      <c r="T35" s="2">
        <v>34</v>
      </c>
      <c r="U35" s="2">
        <v>0</v>
      </c>
      <c r="V35" s="2">
        <v>0</v>
      </c>
      <c r="W35" s="2">
        <v>0</v>
      </c>
      <c r="X35" s="2">
        <v>10508</v>
      </c>
    </row>
    <row r="36" spans="1:24">
      <c r="A36" s="1" t="s">
        <v>104</v>
      </c>
      <c r="B36" s="1" t="s">
        <v>1</v>
      </c>
      <c r="C36" s="1" t="s">
        <v>229</v>
      </c>
      <c r="D36" s="1" t="s">
        <v>0</v>
      </c>
      <c r="E36" s="2">
        <v>6225</v>
      </c>
      <c r="F36" s="2">
        <v>6223</v>
      </c>
      <c r="G36" s="2">
        <v>2</v>
      </c>
      <c r="H36" s="14">
        <f t="shared" si="0"/>
        <v>3.2138839787883657E-2</v>
      </c>
      <c r="I36" s="2">
        <v>33847</v>
      </c>
      <c r="J36" s="2">
        <v>33850</v>
      </c>
      <c r="K36" s="2">
        <v>-3</v>
      </c>
      <c r="L36" s="14">
        <f t="shared" si="1"/>
        <v>-8.8626292466765129E-3</v>
      </c>
      <c r="M36" s="2">
        <v>40072</v>
      </c>
      <c r="N36" s="2">
        <v>40073</v>
      </c>
      <c r="O36" s="2">
        <v>-1</v>
      </c>
      <c r="P36" s="14">
        <f t="shared" si="2"/>
        <v>-2.4954458113942055E-3</v>
      </c>
      <c r="Q36" s="2">
        <v>0</v>
      </c>
      <c r="R36" s="2">
        <v>0</v>
      </c>
      <c r="S36" s="2">
        <v>0</v>
      </c>
      <c r="T36" s="2">
        <v>2</v>
      </c>
      <c r="U36" s="2">
        <v>0</v>
      </c>
      <c r="V36" s="2">
        <v>1</v>
      </c>
      <c r="W36" s="2">
        <v>0</v>
      </c>
      <c r="X36" s="2">
        <v>7125</v>
      </c>
    </row>
    <row r="37" spans="1:24">
      <c r="A37" s="1" t="s">
        <v>107</v>
      </c>
      <c r="B37" s="1" t="s">
        <v>1</v>
      </c>
      <c r="C37" s="1" t="s">
        <v>230</v>
      </c>
      <c r="D37" s="1" t="s">
        <v>0</v>
      </c>
      <c r="E37" s="2">
        <v>140</v>
      </c>
      <c r="F37" s="2">
        <v>122</v>
      </c>
      <c r="G37" s="2">
        <v>18</v>
      </c>
      <c r="H37" s="14">
        <f t="shared" si="0"/>
        <v>14.754098360655737</v>
      </c>
      <c r="I37" s="3">
        <v>2172</v>
      </c>
      <c r="J37" s="2">
        <v>1890</v>
      </c>
      <c r="K37" s="2">
        <v>282</v>
      </c>
      <c r="L37" s="14">
        <f t="shared" si="1"/>
        <v>14.920634920634921</v>
      </c>
      <c r="M37" s="2">
        <v>2312</v>
      </c>
      <c r="N37" s="2">
        <v>2012</v>
      </c>
      <c r="O37" s="2">
        <v>300</v>
      </c>
      <c r="P37" s="14">
        <f t="shared" si="2"/>
        <v>14.910536779324055</v>
      </c>
      <c r="Q37" s="2">
        <v>0</v>
      </c>
      <c r="R37" s="2">
        <v>283</v>
      </c>
      <c r="S37" s="2">
        <v>18</v>
      </c>
      <c r="T37" s="2">
        <v>0</v>
      </c>
      <c r="U37" s="2">
        <v>0</v>
      </c>
      <c r="V37" s="2">
        <v>1</v>
      </c>
      <c r="W37" s="2">
        <v>0</v>
      </c>
      <c r="X37" s="2">
        <v>0</v>
      </c>
    </row>
    <row r="38" spans="1:24">
      <c r="A38" s="1" t="s">
        <v>110</v>
      </c>
      <c r="B38" s="1" t="s">
        <v>1</v>
      </c>
      <c r="C38" s="1" t="s">
        <v>231</v>
      </c>
      <c r="D38" s="1" t="s">
        <v>27</v>
      </c>
      <c r="E38" s="2">
        <v>5399</v>
      </c>
      <c r="F38" s="2">
        <v>5397</v>
      </c>
      <c r="G38" s="2">
        <v>2</v>
      </c>
      <c r="H38" s="14">
        <f t="shared" si="0"/>
        <v>3.7057624606262739E-2</v>
      </c>
      <c r="I38" s="2">
        <v>53289</v>
      </c>
      <c r="J38" s="2">
        <v>52615</v>
      </c>
      <c r="K38" s="2">
        <v>674</v>
      </c>
      <c r="L38" s="14">
        <f t="shared" si="1"/>
        <v>1.2810035161075739</v>
      </c>
      <c r="M38" s="2">
        <v>58688</v>
      </c>
      <c r="N38" s="2">
        <v>58012</v>
      </c>
      <c r="O38" s="2">
        <v>676</v>
      </c>
      <c r="P38" s="14">
        <f t="shared" si="2"/>
        <v>1.1652761497621182</v>
      </c>
      <c r="Q38" s="2">
        <v>0</v>
      </c>
      <c r="R38" s="2">
        <v>675</v>
      </c>
      <c r="S38" s="2">
        <v>1</v>
      </c>
      <c r="T38" s="2">
        <v>1</v>
      </c>
      <c r="U38" s="2">
        <v>0</v>
      </c>
      <c r="V38" s="2">
        <v>0</v>
      </c>
      <c r="W38" s="2">
        <v>0</v>
      </c>
      <c r="X38" s="2">
        <v>6096</v>
      </c>
    </row>
    <row r="39" spans="1:24">
      <c r="A39" s="1" t="s">
        <v>113</v>
      </c>
      <c r="B39" s="1" t="s">
        <v>1</v>
      </c>
      <c r="C39" s="1" t="s">
        <v>232</v>
      </c>
      <c r="D39" s="1" t="s">
        <v>12</v>
      </c>
      <c r="E39" s="2">
        <v>875</v>
      </c>
      <c r="F39" s="2">
        <v>757</v>
      </c>
      <c r="G39" s="2">
        <v>118</v>
      </c>
      <c r="H39" s="14">
        <f t="shared" si="0"/>
        <v>15.587846763540291</v>
      </c>
      <c r="I39" s="2">
        <v>3233</v>
      </c>
      <c r="J39" s="2">
        <v>3028</v>
      </c>
      <c r="K39" s="2">
        <v>205</v>
      </c>
      <c r="L39" s="14">
        <f t="shared" si="1"/>
        <v>6.7701453104359306</v>
      </c>
      <c r="M39" s="2">
        <v>4108</v>
      </c>
      <c r="N39" s="2">
        <v>3785</v>
      </c>
      <c r="O39" s="2">
        <v>323</v>
      </c>
      <c r="P39" s="14">
        <f t="shared" si="2"/>
        <v>8.5336856010568027</v>
      </c>
      <c r="Q39" s="2">
        <v>0</v>
      </c>
      <c r="R39" s="2">
        <v>205</v>
      </c>
      <c r="S39" s="2">
        <v>118</v>
      </c>
      <c r="T39" s="2">
        <v>0</v>
      </c>
      <c r="U39" s="2">
        <v>0</v>
      </c>
      <c r="V39" s="2">
        <v>0</v>
      </c>
      <c r="W39" s="2">
        <v>84</v>
      </c>
      <c r="X39" s="2">
        <v>878</v>
      </c>
    </row>
    <row r="40" spans="1:24">
      <c r="A40" s="1" t="s">
        <v>116</v>
      </c>
      <c r="B40" s="1" t="s">
        <v>1</v>
      </c>
      <c r="C40" s="1" t="s">
        <v>233</v>
      </c>
      <c r="D40" s="1" t="s">
        <v>27</v>
      </c>
      <c r="E40" s="2">
        <v>681</v>
      </c>
      <c r="F40" s="2">
        <v>681</v>
      </c>
      <c r="G40" s="2">
        <v>0</v>
      </c>
      <c r="H40" s="14">
        <f t="shared" si="0"/>
        <v>0</v>
      </c>
      <c r="I40" s="2">
        <v>18850</v>
      </c>
      <c r="J40" s="2">
        <v>18437</v>
      </c>
      <c r="K40" s="2">
        <v>413</v>
      </c>
      <c r="L40" s="14">
        <f t="shared" si="1"/>
        <v>2.2400607474100993</v>
      </c>
      <c r="M40" s="2">
        <v>19531</v>
      </c>
      <c r="N40" s="2">
        <v>19118</v>
      </c>
      <c r="O40" s="2">
        <v>413</v>
      </c>
      <c r="P40" s="14">
        <f t="shared" si="2"/>
        <v>2.1602678104404225</v>
      </c>
      <c r="Q40" s="2">
        <v>0</v>
      </c>
      <c r="R40" s="2">
        <v>413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520</v>
      </c>
    </row>
    <row r="41" spans="1:24">
      <c r="A41" s="1" t="s">
        <v>119</v>
      </c>
      <c r="B41" s="1" t="s">
        <v>1</v>
      </c>
      <c r="C41" s="1" t="s">
        <v>234</v>
      </c>
      <c r="D41" s="1" t="s">
        <v>27</v>
      </c>
      <c r="E41" s="2">
        <v>3619</v>
      </c>
      <c r="F41" s="2">
        <v>3623</v>
      </c>
      <c r="G41" s="2">
        <v>-4</v>
      </c>
      <c r="H41" s="14">
        <f t="shared" si="0"/>
        <v>-0.11040574109853712</v>
      </c>
      <c r="I41" s="3">
        <v>67235</v>
      </c>
      <c r="J41" s="2">
        <v>67231</v>
      </c>
      <c r="K41" s="2">
        <v>4</v>
      </c>
      <c r="L41" s="14">
        <f t="shared" si="1"/>
        <v>5.9496363284794219E-3</v>
      </c>
      <c r="M41" s="2">
        <v>70854</v>
      </c>
      <c r="N41" s="2">
        <v>70854</v>
      </c>
      <c r="O41" s="2">
        <v>0</v>
      </c>
      <c r="P41" s="14">
        <f t="shared" si="2"/>
        <v>0</v>
      </c>
      <c r="Q41" s="2">
        <v>6</v>
      </c>
      <c r="R41" s="2">
        <v>0</v>
      </c>
      <c r="S41" s="2">
        <v>0</v>
      </c>
      <c r="T41" s="2">
        <v>2</v>
      </c>
      <c r="U41" s="2">
        <v>0</v>
      </c>
      <c r="V41" s="2">
        <v>0</v>
      </c>
      <c r="W41" s="2">
        <v>0</v>
      </c>
      <c r="X41" s="2">
        <v>9145</v>
      </c>
    </row>
    <row r="42" spans="1:24">
      <c r="A42" s="1" t="s">
        <v>122</v>
      </c>
      <c r="B42" s="1" t="s">
        <v>1</v>
      </c>
      <c r="C42" s="1" t="s">
        <v>235</v>
      </c>
      <c r="D42" s="1" t="s">
        <v>15</v>
      </c>
      <c r="E42" s="2">
        <v>818</v>
      </c>
      <c r="F42" s="2">
        <v>818</v>
      </c>
      <c r="G42" s="2">
        <v>0</v>
      </c>
      <c r="H42" s="14">
        <f t="shared" si="0"/>
        <v>0</v>
      </c>
      <c r="I42" s="2">
        <v>4434</v>
      </c>
      <c r="J42" s="2">
        <v>4434</v>
      </c>
      <c r="K42" s="2">
        <v>0</v>
      </c>
      <c r="L42" s="14">
        <f t="shared" si="1"/>
        <v>0</v>
      </c>
      <c r="M42" s="2">
        <v>5252</v>
      </c>
      <c r="N42" s="2">
        <v>5252</v>
      </c>
      <c r="O42" s="2">
        <v>0</v>
      </c>
      <c r="P42" s="14">
        <f t="shared" si="2"/>
        <v>0</v>
      </c>
      <c r="Q42" s="2">
        <v>0</v>
      </c>
      <c r="R42" s="2">
        <v>0</v>
      </c>
      <c r="S42" s="2">
        <v>0</v>
      </c>
      <c r="T42" s="2">
        <v>0</v>
      </c>
      <c r="U42" s="2">
        <v>0</v>
      </c>
      <c r="V42" s="2">
        <v>0</v>
      </c>
      <c r="W42" s="2">
        <v>0</v>
      </c>
      <c r="X42" s="2">
        <v>441</v>
      </c>
    </row>
    <row r="43" spans="1:24">
      <c r="A43" s="1" t="s">
        <v>125</v>
      </c>
      <c r="B43" s="1" t="s">
        <v>1</v>
      </c>
      <c r="C43" s="1" t="s">
        <v>236</v>
      </c>
      <c r="D43" s="1" t="s">
        <v>12</v>
      </c>
      <c r="E43" s="2">
        <v>475</v>
      </c>
      <c r="F43" s="2">
        <v>485</v>
      </c>
      <c r="G43" s="2">
        <v>-10</v>
      </c>
      <c r="H43" s="14">
        <f t="shared" si="0"/>
        <v>-2.0618556701030926</v>
      </c>
      <c r="I43" s="2">
        <v>6293</v>
      </c>
      <c r="J43" s="2">
        <v>6283</v>
      </c>
      <c r="K43" s="2">
        <v>10</v>
      </c>
      <c r="L43" s="14">
        <f t="shared" si="1"/>
        <v>0.15915963711602737</v>
      </c>
      <c r="M43" s="2">
        <v>6768</v>
      </c>
      <c r="N43" s="2">
        <v>6768</v>
      </c>
      <c r="O43" s="2">
        <v>0</v>
      </c>
      <c r="P43" s="14">
        <f t="shared" si="2"/>
        <v>0</v>
      </c>
      <c r="Q43" s="2">
        <v>10</v>
      </c>
      <c r="R43" s="2">
        <v>0</v>
      </c>
      <c r="S43" s="2">
        <v>0</v>
      </c>
      <c r="T43" s="2">
        <v>0</v>
      </c>
      <c r="U43" s="2">
        <v>0</v>
      </c>
      <c r="V43" s="2">
        <v>0</v>
      </c>
      <c r="W43" s="2">
        <v>0</v>
      </c>
      <c r="X43" s="2">
        <v>553</v>
      </c>
    </row>
    <row r="44" spans="1:24">
      <c r="A44" s="1" t="s">
        <v>128</v>
      </c>
      <c r="B44" s="1" t="s">
        <v>1</v>
      </c>
      <c r="C44" s="1" t="s">
        <v>237</v>
      </c>
      <c r="D44" s="1" t="s">
        <v>12</v>
      </c>
      <c r="E44" s="2">
        <v>3667</v>
      </c>
      <c r="F44" s="2">
        <v>3665</v>
      </c>
      <c r="G44" s="2">
        <v>2</v>
      </c>
      <c r="H44" s="14">
        <f t="shared" si="0"/>
        <v>5.4570259208731244E-2</v>
      </c>
      <c r="I44" s="2">
        <v>30678</v>
      </c>
      <c r="J44" s="2">
        <v>30691</v>
      </c>
      <c r="K44" s="2">
        <v>-13</v>
      </c>
      <c r="L44" s="14">
        <f t="shared" si="1"/>
        <v>-4.2357694438108891E-2</v>
      </c>
      <c r="M44" s="2">
        <v>34345</v>
      </c>
      <c r="N44" s="2">
        <v>34356</v>
      </c>
      <c r="O44" s="2">
        <v>-11</v>
      </c>
      <c r="P44" s="14">
        <f t="shared" si="2"/>
        <v>-3.2017697054371873E-2</v>
      </c>
      <c r="Q44" s="2">
        <v>0</v>
      </c>
      <c r="R44" s="2">
        <v>0</v>
      </c>
      <c r="S44" s="2">
        <v>2</v>
      </c>
      <c r="T44" s="2">
        <v>0</v>
      </c>
      <c r="U44" s="2">
        <v>0</v>
      </c>
      <c r="V44" s="2">
        <v>13</v>
      </c>
      <c r="W44" s="2">
        <v>2</v>
      </c>
      <c r="X44" s="2">
        <v>9113</v>
      </c>
    </row>
    <row r="45" spans="1:24">
      <c r="A45" s="1" t="s">
        <v>131</v>
      </c>
      <c r="B45" s="1" t="s">
        <v>1</v>
      </c>
      <c r="C45" s="1" t="s">
        <v>238</v>
      </c>
      <c r="D45" s="1" t="s">
        <v>3</v>
      </c>
      <c r="E45" s="2">
        <v>913</v>
      </c>
      <c r="F45" s="2">
        <v>914</v>
      </c>
      <c r="G45" s="2">
        <v>-1</v>
      </c>
      <c r="H45" s="14">
        <f t="shared" si="0"/>
        <v>-0.10940919037199125</v>
      </c>
      <c r="I45" s="2">
        <v>4473</v>
      </c>
      <c r="J45" s="2">
        <v>4472</v>
      </c>
      <c r="K45" s="2">
        <v>1</v>
      </c>
      <c r="L45" s="14">
        <f t="shared" si="1"/>
        <v>2.2361359570661897E-2</v>
      </c>
      <c r="M45" s="2">
        <v>5386</v>
      </c>
      <c r="N45" s="2">
        <v>5386</v>
      </c>
      <c r="O45" s="2">
        <v>0</v>
      </c>
      <c r="P45" s="14">
        <f t="shared" si="2"/>
        <v>0</v>
      </c>
      <c r="Q45" s="2">
        <v>1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816</v>
      </c>
    </row>
    <row r="46" spans="1:24">
      <c r="A46" s="1" t="s">
        <v>134</v>
      </c>
      <c r="B46" s="1" t="s">
        <v>1</v>
      </c>
      <c r="C46" s="1" t="s">
        <v>239</v>
      </c>
      <c r="D46" s="1" t="s">
        <v>15</v>
      </c>
      <c r="E46" s="2">
        <v>4074</v>
      </c>
      <c r="F46" s="2">
        <v>4115</v>
      </c>
      <c r="G46" s="2">
        <v>-41</v>
      </c>
      <c r="H46" s="14">
        <f t="shared" si="0"/>
        <v>-0.99635479951397321</v>
      </c>
      <c r="I46" s="2">
        <v>20727</v>
      </c>
      <c r="J46" s="2">
        <v>20686</v>
      </c>
      <c r="K46" s="2">
        <v>41</v>
      </c>
      <c r="L46" s="14">
        <f t="shared" si="1"/>
        <v>0.19820168229720581</v>
      </c>
      <c r="M46" s="2">
        <v>24801</v>
      </c>
      <c r="N46" s="2">
        <v>24801</v>
      </c>
      <c r="O46" s="2">
        <v>0</v>
      </c>
      <c r="P46" s="14">
        <f t="shared" si="2"/>
        <v>0</v>
      </c>
      <c r="Q46" s="2">
        <v>41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5391</v>
      </c>
    </row>
    <row r="47" spans="1:24">
      <c r="A47" s="1" t="s">
        <v>137</v>
      </c>
      <c r="B47" s="1" t="s">
        <v>1</v>
      </c>
      <c r="C47" s="1" t="s">
        <v>240</v>
      </c>
      <c r="D47" s="1" t="s">
        <v>0</v>
      </c>
      <c r="E47" s="2">
        <v>9546</v>
      </c>
      <c r="F47" s="2">
        <v>9632</v>
      </c>
      <c r="G47" s="2">
        <v>-86</v>
      </c>
      <c r="H47" s="14">
        <f t="shared" si="0"/>
        <v>-0.89285714285714279</v>
      </c>
      <c r="I47" s="2">
        <v>47975</v>
      </c>
      <c r="J47" s="2">
        <v>47889</v>
      </c>
      <c r="K47" s="2">
        <v>86</v>
      </c>
      <c r="L47" s="14">
        <f t="shared" si="1"/>
        <v>0.17958194992587023</v>
      </c>
      <c r="M47" s="2">
        <v>57521</v>
      </c>
      <c r="N47" s="2">
        <v>57521</v>
      </c>
      <c r="O47" s="2">
        <v>0</v>
      </c>
      <c r="P47" s="14">
        <f t="shared" si="2"/>
        <v>0</v>
      </c>
      <c r="Q47" s="2">
        <v>86</v>
      </c>
      <c r="R47" s="2">
        <v>0</v>
      </c>
      <c r="S47" s="2">
        <v>0</v>
      </c>
      <c r="T47" s="2">
        <v>0</v>
      </c>
      <c r="U47" s="2">
        <v>0</v>
      </c>
      <c r="V47" s="2">
        <v>0</v>
      </c>
      <c r="W47" s="2">
        <v>0</v>
      </c>
      <c r="X47" s="2">
        <v>21603</v>
      </c>
    </row>
    <row r="48" spans="1:24">
      <c r="A48" s="1" t="s">
        <v>140</v>
      </c>
      <c r="B48" s="1" t="s">
        <v>1</v>
      </c>
      <c r="C48" s="1" t="s">
        <v>241</v>
      </c>
      <c r="D48" s="1" t="s">
        <v>3</v>
      </c>
      <c r="E48" s="2">
        <v>1203</v>
      </c>
      <c r="F48" s="2">
        <v>1213</v>
      </c>
      <c r="G48" s="2">
        <v>-10</v>
      </c>
      <c r="H48" s="14">
        <f t="shared" si="0"/>
        <v>-0.82440230832646322</v>
      </c>
      <c r="I48" s="2">
        <v>11715</v>
      </c>
      <c r="J48" s="2">
        <v>11705</v>
      </c>
      <c r="K48" s="2">
        <v>10</v>
      </c>
      <c r="L48" s="14">
        <f t="shared" si="1"/>
        <v>8.5433575395130287E-2</v>
      </c>
      <c r="M48" s="2">
        <v>12918</v>
      </c>
      <c r="N48" s="2">
        <v>12918</v>
      </c>
      <c r="O48" s="2">
        <v>0</v>
      </c>
      <c r="P48" s="14">
        <f t="shared" si="2"/>
        <v>0</v>
      </c>
      <c r="Q48" s="2">
        <v>10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1461</v>
      </c>
    </row>
    <row r="49" spans="1:24">
      <c r="A49" s="1" t="s">
        <v>143</v>
      </c>
      <c r="B49" s="1" t="s">
        <v>1</v>
      </c>
      <c r="C49" s="1" t="s">
        <v>242</v>
      </c>
      <c r="D49" s="1" t="s">
        <v>3</v>
      </c>
      <c r="E49" s="2">
        <v>3404</v>
      </c>
      <c r="F49" s="2">
        <v>3404</v>
      </c>
      <c r="G49" s="2">
        <v>0</v>
      </c>
      <c r="H49" s="14">
        <f t="shared" si="0"/>
        <v>0</v>
      </c>
      <c r="I49" s="2">
        <v>21164</v>
      </c>
      <c r="J49" s="2">
        <v>21164</v>
      </c>
      <c r="K49" s="2">
        <v>0</v>
      </c>
      <c r="L49" s="14">
        <f t="shared" si="1"/>
        <v>0</v>
      </c>
      <c r="M49" s="2">
        <v>24568</v>
      </c>
      <c r="N49" s="2">
        <v>24568</v>
      </c>
      <c r="O49" s="2">
        <v>0</v>
      </c>
      <c r="P49" s="14">
        <f t="shared" si="2"/>
        <v>0</v>
      </c>
      <c r="Q49" s="2">
        <v>0</v>
      </c>
      <c r="R49" s="2">
        <v>0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4398</v>
      </c>
    </row>
    <row r="50" spans="1:24">
      <c r="A50" s="1" t="s">
        <v>146</v>
      </c>
      <c r="B50" s="1" t="s">
        <v>1</v>
      </c>
      <c r="C50" s="1" t="s">
        <v>243</v>
      </c>
      <c r="D50" s="1" t="s">
        <v>15</v>
      </c>
      <c r="E50" s="2">
        <v>5186</v>
      </c>
      <c r="F50" s="2">
        <v>5163</v>
      </c>
      <c r="G50" s="2">
        <v>23</v>
      </c>
      <c r="H50" s="14">
        <f t="shared" si="0"/>
        <v>0.44547743559945768</v>
      </c>
      <c r="I50" s="2">
        <v>18899</v>
      </c>
      <c r="J50" s="2">
        <v>18583</v>
      </c>
      <c r="K50" s="2">
        <v>316</v>
      </c>
      <c r="L50" s="14">
        <f t="shared" si="1"/>
        <v>1.7004789323575311</v>
      </c>
      <c r="M50" s="2">
        <v>24085</v>
      </c>
      <c r="N50" s="2">
        <v>23746</v>
      </c>
      <c r="O50" s="2">
        <v>339</v>
      </c>
      <c r="P50" s="14">
        <f t="shared" si="2"/>
        <v>1.4276088604396531</v>
      </c>
      <c r="Q50" s="2">
        <v>0</v>
      </c>
      <c r="R50" s="2">
        <v>316</v>
      </c>
      <c r="S50" s="2">
        <v>23</v>
      </c>
      <c r="T50" s="2">
        <v>0</v>
      </c>
      <c r="U50" s="2">
        <v>0</v>
      </c>
      <c r="V50" s="2">
        <v>0</v>
      </c>
      <c r="W50" s="2">
        <v>17</v>
      </c>
      <c r="X50" s="2">
        <v>4490</v>
      </c>
    </row>
    <row r="51" spans="1:24">
      <c r="A51" s="1" t="s">
        <v>149</v>
      </c>
      <c r="B51" s="1" t="s">
        <v>1</v>
      </c>
      <c r="C51" s="1" t="s">
        <v>244</v>
      </c>
      <c r="D51" s="1" t="s">
        <v>27</v>
      </c>
      <c r="E51" s="2">
        <v>2280</v>
      </c>
      <c r="F51" s="2">
        <v>2280</v>
      </c>
      <c r="G51" s="2">
        <v>0</v>
      </c>
      <c r="H51" s="14">
        <f t="shared" si="0"/>
        <v>0</v>
      </c>
      <c r="I51" s="2">
        <v>16802</v>
      </c>
      <c r="J51" s="2">
        <v>16802</v>
      </c>
      <c r="K51" s="2">
        <v>0</v>
      </c>
      <c r="L51" s="14">
        <f t="shared" si="1"/>
        <v>0</v>
      </c>
      <c r="M51" s="2">
        <v>19082</v>
      </c>
      <c r="N51" s="2">
        <v>19082</v>
      </c>
      <c r="O51" s="2">
        <v>0</v>
      </c>
      <c r="P51" s="14">
        <f t="shared" si="2"/>
        <v>0</v>
      </c>
      <c r="Q51" s="2">
        <v>0</v>
      </c>
      <c r="R51" s="2">
        <v>0</v>
      </c>
      <c r="S51" s="2">
        <v>1</v>
      </c>
      <c r="T51" s="2">
        <v>0</v>
      </c>
      <c r="U51" s="2">
        <v>1</v>
      </c>
      <c r="V51" s="2">
        <v>0</v>
      </c>
      <c r="W51" s="2">
        <v>1</v>
      </c>
      <c r="X51" s="2">
        <v>1725</v>
      </c>
    </row>
    <row r="52" spans="1:24">
      <c r="A52" s="1" t="s">
        <v>152</v>
      </c>
      <c r="B52" s="1" t="s">
        <v>1</v>
      </c>
      <c r="C52" s="1" t="s">
        <v>245</v>
      </c>
      <c r="D52" s="1" t="s">
        <v>12</v>
      </c>
      <c r="E52" s="2">
        <v>8009</v>
      </c>
      <c r="F52" s="2">
        <v>8539</v>
      </c>
      <c r="G52" s="2">
        <v>-530</v>
      </c>
      <c r="H52" s="14">
        <f t="shared" si="0"/>
        <v>-6.2068157863918492</v>
      </c>
      <c r="I52" s="2">
        <v>40389</v>
      </c>
      <c r="J52" s="2">
        <v>40225</v>
      </c>
      <c r="K52" s="2">
        <v>164</v>
      </c>
      <c r="L52" s="14">
        <f t="shared" si="1"/>
        <v>0.40770665009322565</v>
      </c>
      <c r="M52" s="2">
        <v>48398</v>
      </c>
      <c r="N52" s="2">
        <v>48764</v>
      </c>
      <c r="O52" s="2">
        <v>-366</v>
      </c>
      <c r="P52" s="14">
        <f t="shared" si="2"/>
        <v>-0.75055368714625537</v>
      </c>
      <c r="Q52" s="2">
        <v>233</v>
      </c>
      <c r="R52" s="2">
        <v>11</v>
      </c>
      <c r="S52" s="2">
        <v>0</v>
      </c>
      <c r="T52" s="2">
        <v>76</v>
      </c>
      <c r="U52" s="2">
        <v>373</v>
      </c>
      <c r="V52" s="2">
        <v>4</v>
      </c>
      <c r="W52" s="2">
        <v>0</v>
      </c>
      <c r="X52" s="2">
        <v>10166</v>
      </c>
    </row>
    <row r="53" spans="1:24">
      <c r="A53" s="1" t="s">
        <v>155</v>
      </c>
      <c r="B53" s="1" t="s">
        <v>1</v>
      </c>
      <c r="C53" s="1" t="s">
        <v>246</v>
      </c>
      <c r="D53" s="1" t="s">
        <v>0</v>
      </c>
      <c r="E53" s="2">
        <v>612</v>
      </c>
      <c r="F53" s="2">
        <v>612</v>
      </c>
      <c r="G53" s="2">
        <v>0</v>
      </c>
      <c r="H53" s="14">
        <f t="shared" si="0"/>
        <v>0</v>
      </c>
      <c r="I53" s="2">
        <v>19535</v>
      </c>
      <c r="J53" s="2">
        <v>19473</v>
      </c>
      <c r="K53" s="2">
        <v>62</v>
      </c>
      <c r="L53" s="14">
        <f t="shared" si="1"/>
        <v>0.31838956503877164</v>
      </c>
      <c r="M53" s="2">
        <v>20147</v>
      </c>
      <c r="N53" s="2">
        <v>20085</v>
      </c>
      <c r="O53" s="2">
        <v>62</v>
      </c>
      <c r="P53" s="14">
        <f t="shared" si="2"/>
        <v>0.30868807567836692</v>
      </c>
      <c r="Q53" s="2">
        <v>0</v>
      </c>
      <c r="R53" s="2">
        <v>62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4917</v>
      </c>
    </row>
    <row r="54" spans="1:24">
      <c r="A54" s="1" t="s">
        <v>158</v>
      </c>
      <c r="B54" s="1" t="s">
        <v>1</v>
      </c>
      <c r="C54" s="1" t="s">
        <v>247</v>
      </c>
      <c r="D54" s="1" t="s">
        <v>0</v>
      </c>
      <c r="E54" s="2">
        <v>274</v>
      </c>
      <c r="F54" s="2">
        <v>274</v>
      </c>
      <c r="G54" s="2">
        <v>0</v>
      </c>
      <c r="H54" s="14">
        <f t="shared" si="0"/>
        <v>0</v>
      </c>
      <c r="I54" s="2">
        <v>980</v>
      </c>
      <c r="J54" s="2">
        <v>980</v>
      </c>
      <c r="K54" s="2">
        <v>0</v>
      </c>
      <c r="L54" s="14">
        <f t="shared" si="1"/>
        <v>0</v>
      </c>
      <c r="M54" s="2">
        <v>1254</v>
      </c>
      <c r="N54" s="2">
        <v>1254</v>
      </c>
      <c r="O54" s="2">
        <v>0</v>
      </c>
      <c r="P54" s="14">
        <f t="shared" si="2"/>
        <v>0</v>
      </c>
      <c r="Q54" s="2">
        <v>0</v>
      </c>
      <c r="R54" s="2">
        <v>0</v>
      </c>
      <c r="S54" s="2">
        <v>0</v>
      </c>
      <c r="T54" s="2">
        <v>0</v>
      </c>
      <c r="U54" s="2">
        <v>0</v>
      </c>
      <c r="V54" s="2">
        <v>0</v>
      </c>
      <c r="W54" s="2">
        <v>0</v>
      </c>
      <c r="X54" s="2">
        <v>91</v>
      </c>
    </row>
    <row r="55" spans="1:24">
      <c r="A55" s="1" t="s">
        <v>161</v>
      </c>
      <c r="B55" s="1" t="s">
        <v>1</v>
      </c>
      <c r="C55" s="1" t="s">
        <v>248</v>
      </c>
      <c r="D55" s="1" t="s">
        <v>15</v>
      </c>
      <c r="E55" s="2">
        <v>3957</v>
      </c>
      <c r="F55" s="2">
        <v>3908</v>
      </c>
      <c r="G55" s="2">
        <v>49</v>
      </c>
      <c r="H55" s="14">
        <f t="shared" si="0"/>
        <v>1.2538382804503583</v>
      </c>
      <c r="I55" s="2">
        <v>27492</v>
      </c>
      <c r="J55" s="2">
        <v>27541</v>
      </c>
      <c r="K55" s="2">
        <v>-49</v>
      </c>
      <c r="L55" s="14">
        <f t="shared" si="1"/>
        <v>-0.17791656076395193</v>
      </c>
      <c r="M55" s="2">
        <v>31449</v>
      </c>
      <c r="N55" s="2">
        <v>31449</v>
      </c>
      <c r="O55" s="2">
        <v>0</v>
      </c>
      <c r="P55" s="14">
        <f t="shared" si="2"/>
        <v>0</v>
      </c>
      <c r="Q55" s="2">
        <v>3</v>
      </c>
      <c r="R55" s="2">
        <v>0</v>
      </c>
      <c r="S55" s="2">
        <v>0</v>
      </c>
      <c r="T55" s="2">
        <v>52</v>
      </c>
      <c r="U55" s="2">
        <v>0</v>
      </c>
      <c r="V55" s="2">
        <v>0</v>
      </c>
      <c r="W55" s="2">
        <v>0</v>
      </c>
      <c r="X55" s="2">
        <v>3044</v>
      </c>
    </row>
    <row r="56" spans="1:24">
      <c r="A56" s="1" t="s">
        <v>164</v>
      </c>
      <c r="B56" s="1" t="s">
        <v>1</v>
      </c>
      <c r="C56" s="1" t="s">
        <v>249</v>
      </c>
      <c r="D56" s="1" t="s">
        <v>15</v>
      </c>
      <c r="E56" s="2">
        <v>391</v>
      </c>
      <c r="F56" s="2">
        <v>390</v>
      </c>
      <c r="G56" s="2">
        <v>1</v>
      </c>
      <c r="H56" s="14">
        <f t="shared" si="0"/>
        <v>0.25641025641025639</v>
      </c>
      <c r="I56" s="2">
        <v>2911</v>
      </c>
      <c r="J56" s="2">
        <v>2912</v>
      </c>
      <c r="K56" s="2">
        <v>-1</v>
      </c>
      <c r="L56" s="14">
        <f t="shared" si="1"/>
        <v>-3.4340659340659344E-2</v>
      </c>
      <c r="M56" s="2">
        <v>3302</v>
      </c>
      <c r="N56" s="2">
        <v>3302</v>
      </c>
      <c r="O56" s="2">
        <v>0</v>
      </c>
      <c r="P56" s="14">
        <f t="shared" si="2"/>
        <v>0</v>
      </c>
      <c r="Q56" s="2">
        <v>0</v>
      </c>
      <c r="R56" s="2">
        <v>0</v>
      </c>
      <c r="S56" s="2">
        <v>0</v>
      </c>
      <c r="T56" s="2">
        <v>1</v>
      </c>
      <c r="U56" s="2">
        <v>0</v>
      </c>
      <c r="V56" s="2">
        <v>0</v>
      </c>
      <c r="W56" s="2">
        <v>0</v>
      </c>
      <c r="X56" s="2">
        <v>351</v>
      </c>
    </row>
    <row r="57" spans="1:24">
      <c r="A57" s="1" t="s">
        <v>167</v>
      </c>
      <c r="B57" s="1" t="s">
        <v>1</v>
      </c>
      <c r="C57" s="1" t="s">
        <v>250</v>
      </c>
      <c r="D57" s="1" t="s">
        <v>27</v>
      </c>
      <c r="E57" s="2">
        <v>3979</v>
      </c>
      <c r="F57" s="2">
        <v>3941</v>
      </c>
      <c r="G57" s="2">
        <v>38</v>
      </c>
      <c r="H57" s="14">
        <f t="shared" si="0"/>
        <v>0.96422227860948995</v>
      </c>
      <c r="I57" s="2">
        <v>24464</v>
      </c>
      <c r="J57" s="2">
        <v>24028</v>
      </c>
      <c r="K57" s="2">
        <v>436</v>
      </c>
      <c r="L57" s="14">
        <f t="shared" si="1"/>
        <v>1.8145496920259696</v>
      </c>
      <c r="M57" s="2">
        <v>28443</v>
      </c>
      <c r="N57" s="2">
        <v>27969</v>
      </c>
      <c r="O57" s="2">
        <v>474</v>
      </c>
      <c r="P57" s="14">
        <f t="shared" si="2"/>
        <v>1.6947334548964927</v>
      </c>
      <c r="Q57" s="2">
        <v>0</v>
      </c>
      <c r="R57" s="2">
        <v>436</v>
      </c>
      <c r="S57" s="2">
        <v>38</v>
      </c>
      <c r="T57" s="2">
        <v>0</v>
      </c>
      <c r="U57" s="2">
        <v>0</v>
      </c>
      <c r="V57" s="2">
        <v>0</v>
      </c>
      <c r="W57" s="2">
        <v>0</v>
      </c>
      <c r="X57" s="2">
        <v>4802</v>
      </c>
    </row>
    <row r="58" spans="1:24">
      <c r="A58" s="1" t="s">
        <v>170</v>
      </c>
      <c r="B58" s="1" t="s">
        <v>1</v>
      </c>
      <c r="C58" s="1" t="s">
        <v>251</v>
      </c>
      <c r="D58" s="1" t="s">
        <v>15</v>
      </c>
      <c r="E58" s="2">
        <v>375</v>
      </c>
      <c r="F58" s="2">
        <v>375</v>
      </c>
      <c r="G58" s="2">
        <v>0</v>
      </c>
      <c r="H58" s="14">
        <f t="shared" si="0"/>
        <v>0</v>
      </c>
      <c r="I58" s="2">
        <v>7503</v>
      </c>
      <c r="J58" s="2">
        <v>7503</v>
      </c>
      <c r="K58" s="2">
        <v>0</v>
      </c>
      <c r="L58" s="14">
        <f t="shared" si="1"/>
        <v>0</v>
      </c>
      <c r="M58" s="2">
        <v>7878</v>
      </c>
      <c r="N58" s="2">
        <v>7878</v>
      </c>
      <c r="O58" s="2">
        <v>0</v>
      </c>
      <c r="P58" s="14">
        <f t="shared" si="2"/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284</v>
      </c>
    </row>
    <row r="59" spans="1:24">
      <c r="A59" s="1" t="s">
        <v>173</v>
      </c>
      <c r="B59" s="1" t="s">
        <v>1</v>
      </c>
      <c r="C59" s="1" t="s">
        <v>252</v>
      </c>
      <c r="D59" s="1" t="s">
        <v>12</v>
      </c>
      <c r="E59" s="2">
        <v>3916</v>
      </c>
      <c r="F59" s="2">
        <v>3917</v>
      </c>
      <c r="G59" s="2">
        <v>-1</v>
      </c>
      <c r="H59" s="14">
        <f t="shared" si="0"/>
        <v>-2.5529742149604292E-2</v>
      </c>
      <c r="I59" s="2">
        <v>21408</v>
      </c>
      <c r="J59" s="2">
        <v>21407</v>
      </c>
      <c r="K59" s="2">
        <v>1</v>
      </c>
      <c r="L59" s="14">
        <f t="shared" si="1"/>
        <v>4.6713691783061614E-3</v>
      </c>
      <c r="M59" s="2">
        <v>25324</v>
      </c>
      <c r="N59" s="2">
        <v>25324</v>
      </c>
      <c r="O59" s="2">
        <v>0</v>
      </c>
      <c r="P59" s="14">
        <f t="shared" si="2"/>
        <v>0</v>
      </c>
      <c r="Q59" s="2">
        <v>12</v>
      </c>
      <c r="R59" s="2">
        <v>0</v>
      </c>
      <c r="S59" s="2">
        <v>0</v>
      </c>
      <c r="T59" s="2">
        <v>11</v>
      </c>
      <c r="U59" s="2">
        <v>0</v>
      </c>
      <c r="V59" s="2">
        <v>0</v>
      </c>
      <c r="W59" s="2">
        <v>0</v>
      </c>
      <c r="X59" s="2">
        <v>5986</v>
      </c>
    </row>
    <row r="60" spans="1:24">
      <c r="E60" s="5"/>
      <c r="F60" s="5"/>
      <c r="I60" s="5"/>
      <c r="J60" s="5"/>
      <c r="M60" s="5"/>
      <c r="N60" s="5"/>
    </row>
    <row r="61" spans="1:24">
      <c r="E61" s="5"/>
      <c r="F61" s="5"/>
      <c r="I61" s="5"/>
      <c r="J61" s="5"/>
      <c r="M61" s="5"/>
      <c r="N61" s="5"/>
    </row>
  </sheetData>
  <autoFilter ref="A1:X59" xr:uid="{00000000-0001-0000-0000-000000000000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Pivot table</vt:lpstr>
      <vt:lpstr>Correlation</vt:lpstr>
      <vt:lpstr>Descriptive Statistics</vt:lpstr>
      <vt:lpstr>Midlands Descriptive Statistics</vt:lpstr>
      <vt:lpstr>North &amp; North West DEscriptive</vt:lpstr>
      <vt:lpstr>Scot &amp; North East Descriptive</vt:lpstr>
      <vt:lpstr>South East Desciptive Statistic</vt:lpstr>
      <vt:lpstr>South West Descriptive Statisti</vt:lpstr>
      <vt:lpstr>Dataset</vt:lpstr>
      <vt:lpstr>Macro</vt:lpstr>
      <vt:lpstr>Selection</vt:lpstr>
      <vt:lpstr>LOC graphs</vt:lpstr>
      <vt:lpstr>RFS graphs</vt:lpstr>
      <vt:lpstr>Passes graphs</vt:lpstr>
      <vt:lpstr>Copy of the dataset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vidheesha</dc:creator>
  <cp:lastModifiedBy>vidheesha</cp:lastModifiedBy>
  <dcterms:created xsi:type="dcterms:W3CDTF">2022-05-11T12:57:55Z</dcterms:created>
  <dcterms:modified xsi:type="dcterms:W3CDTF">2022-05-20T06:47:08Z</dcterms:modified>
</cp:coreProperties>
</file>